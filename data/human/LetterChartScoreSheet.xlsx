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ngzi/Library/Mobile Documents/com~apple~CloudDocs/JHU/Projects/EVA/Code/EVA Linear LV Filter/SLV Data/"/>
    </mc:Choice>
  </mc:AlternateContent>
  <xr:revisionPtr revIDLastSave="0" documentId="8_{C9936800-DD4D-4761-9132-C12374BAF653}" xr6:coauthVersionLast="47" xr6:coauthVersionMax="47" xr10:uidLastSave="{00000000-0000-0000-0000-000000000000}"/>
  <bookViews>
    <workbookView xWindow="920" yWindow="460" windowWidth="37480" windowHeight="21140" firstSheet="21" activeTab="21" xr2:uid="{E88684EF-5FC5-1243-9E53-11C20A258B89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7" sheetId="7" r:id="rId7"/>
    <sheet name="B8" sheetId="8" r:id="rId8"/>
    <sheet name="B9" sheetId="9" r:id="rId9"/>
    <sheet name="B10" sheetId="10" r:id="rId10"/>
    <sheet name="B11" sheetId="11" r:id="rId11"/>
    <sheet name="B12" sheetId="12" r:id="rId12"/>
    <sheet name="B13" sheetId="13" r:id="rId13"/>
    <sheet name="B14" sheetId="14" r:id="rId14"/>
    <sheet name="B15" sheetId="15" r:id="rId15"/>
    <sheet name="B20" sheetId="16" r:id="rId16"/>
    <sheet name="B21" sheetId="17" r:id="rId17"/>
    <sheet name="B22" sheetId="18" r:id="rId18"/>
    <sheet name="N1" sheetId="19" r:id="rId19"/>
    <sheet name="N2" sheetId="20" r:id="rId20"/>
    <sheet name="N3" sheetId="21" r:id="rId21"/>
    <sheet name="N4" sheetId="22" r:id="rId22"/>
    <sheet name="N5" sheetId="23" r:id="rId23"/>
    <sheet name="N6" sheetId="24" r:id="rId24"/>
    <sheet name="N7" sheetId="25" r:id="rId25"/>
    <sheet name="N8" sheetId="26" r:id="rId26"/>
    <sheet name="N9" sheetId="27" r:id="rId27"/>
    <sheet name="N10" sheetId="28" r:id="rId28"/>
  </sheets>
  <definedNames>
    <definedName name="_xlnm._FilterDatabase" localSheetId="0" hidden="1">'B1'!$A$1:$O$337</definedName>
    <definedName name="_xlnm._FilterDatabase" localSheetId="9" hidden="1">'B10'!$A$1:$O$337</definedName>
    <definedName name="_xlnm._FilterDatabase" localSheetId="10" hidden="1">'B11'!$A$1:$O$337</definedName>
    <definedName name="_xlnm._FilterDatabase" localSheetId="11" hidden="1">'B12'!$A$1:$O$337</definedName>
    <definedName name="_xlnm._FilterDatabase" localSheetId="12" hidden="1">'B13'!$A$1:$O$337</definedName>
    <definedName name="_xlnm._FilterDatabase" localSheetId="13" hidden="1">'B14'!$A$1:$O$337</definedName>
    <definedName name="_xlnm._FilterDatabase" localSheetId="14" hidden="1">'B15'!$A$1:$O$337</definedName>
    <definedName name="_xlnm._FilterDatabase" localSheetId="1" hidden="1">'B2'!$A$1:$O$337</definedName>
    <definedName name="_xlnm._FilterDatabase" localSheetId="15" hidden="1">'B20'!$A$1:$O$337</definedName>
    <definedName name="_xlnm._FilterDatabase" localSheetId="16" hidden="1">'B21'!$A$1:$O$337</definedName>
    <definedName name="_xlnm._FilterDatabase" localSheetId="17" hidden="1">'B22'!$A$1:$O$337</definedName>
    <definedName name="_xlnm._FilterDatabase" localSheetId="2" hidden="1">'B3'!$A$1:$O$337</definedName>
    <definedName name="_xlnm._FilterDatabase" localSheetId="3" hidden="1">'B4'!$A$1:$O$337</definedName>
    <definedName name="_xlnm._FilterDatabase" localSheetId="4" hidden="1">'B5'!$A$1:$O$337</definedName>
    <definedName name="_xlnm._FilterDatabase" localSheetId="5" hidden="1">'B6'!$A$1:$O$337</definedName>
    <definedName name="_xlnm._FilterDatabase" localSheetId="6" hidden="1">'B7'!$A$1:$O$337</definedName>
    <definedName name="_xlnm._FilterDatabase" localSheetId="7" hidden="1">'B8'!$A$1:$O$337</definedName>
    <definedName name="_xlnm._FilterDatabase" localSheetId="8" hidden="1">'B9'!$A$1:$O$337</definedName>
    <definedName name="_xlnm._FilterDatabase" localSheetId="18" hidden="1">'N1'!$A$1:$O$121</definedName>
    <definedName name="_xlnm._FilterDatabase" localSheetId="27" hidden="1">'N10'!$A$1:$O$268</definedName>
    <definedName name="_xlnm._FilterDatabase" localSheetId="19" hidden="1">'N2'!$A$1:$O$268</definedName>
    <definedName name="_xlnm._FilterDatabase" localSheetId="20" hidden="1">'N3'!$A$1:$O$268</definedName>
    <definedName name="_xlnm._FilterDatabase" localSheetId="21" hidden="1">'N4'!$A$1:$O$268</definedName>
    <definedName name="_xlnm._FilterDatabase" localSheetId="22" hidden="1">'N5'!$A$1:$O$268</definedName>
    <definedName name="_xlnm._FilterDatabase" localSheetId="23" hidden="1">'N6'!$A$1:$O$268</definedName>
    <definedName name="_xlnm._FilterDatabase" localSheetId="24" hidden="1">'N7'!$A$1:$O$268</definedName>
    <definedName name="_xlnm._FilterDatabase" localSheetId="25" hidden="1">'N8'!$A$1:$O$268</definedName>
    <definedName name="_xlnm._FilterDatabase" localSheetId="26" hidden="1">'N9'!$A$1:$O$268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7" i="18" l="1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337" i="17"/>
  <c r="B337" i="17"/>
  <c r="C336" i="17"/>
  <c r="B336" i="17"/>
  <c r="C335" i="17"/>
  <c r="B335" i="17"/>
  <c r="C334" i="17"/>
  <c r="B334" i="17"/>
  <c r="C333" i="17"/>
  <c r="B333" i="17"/>
  <c r="C332" i="17"/>
  <c r="B332" i="17"/>
  <c r="C331" i="17"/>
  <c r="B331" i="17"/>
  <c r="C330" i="17"/>
  <c r="B330" i="17"/>
  <c r="C329" i="17"/>
  <c r="B329" i="17"/>
  <c r="C328" i="17"/>
  <c r="B328" i="17"/>
  <c r="C327" i="17"/>
  <c r="B327" i="17"/>
  <c r="C326" i="17"/>
  <c r="B326" i="17"/>
  <c r="C325" i="17"/>
  <c r="B325" i="17"/>
  <c r="C324" i="17"/>
  <c r="B324" i="17"/>
  <c r="C323" i="17"/>
  <c r="B323" i="17"/>
  <c r="C322" i="17"/>
  <c r="B322" i="17"/>
  <c r="C321" i="17"/>
  <c r="B321" i="17"/>
  <c r="C320" i="17"/>
  <c r="B320" i="17"/>
  <c r="C319" i="17"/>
  <c r="B319" i="17"/>
  <c r="C318" i="17"/>
  <c r="B318" i="17"/>
  <c r="C317" i="17"/>
  <c r="B317" i="17"/>
  <c r="C316" i="17"/>
  <c r="B316" i="17"/>
  <c r="C315" i="17"/>
  <c r="B315" i="17"/>
  <c r="C314" i="17"/>
  <c r="B314" i="17"/>
  <c r="C313" i="17"/>
  <c r="B313" i="17"/>
  <c r="C312" i="17"/>
  <c r="B312" i="17"/>
  <c r="C311" i="17"/>
  <c r="B311" i="17"/>
  <c r="C310" i="17"/>
  <c r="B310" i="17"/>
  <c r="C309" i="17"/>
  <c r="B309" i="17"/>
  <c r="C308" i="17"/>
  <c r="B308" i="17"/>
  <c r="C307" i="17"/>
  <c r="B307" i="17"/>
  <c r="C306" i="17"/>
  <c r="B306" i="17"/>
  <c r="C305" i="17"/>
  <c r="B305" i="17"/>
  <c r="C304" i="17"/>
  <c r="B304" i="17"/>
  <c r="C303" i="17"/>
  <c r="B303" i="17"/>
  <c r="C302" i="17"/>
  <c r="B302" i="17"/>
  <c r="C301" i="17"/>
  <c r="B301" i="17"/>
  <c r="C300" i="17"/>
  <c r="B300" i="17"/>
  <c r="C299" i="17"/>
  <c r="B299" i="17"/>
  <c r="C298" i="17"/>
  <c r="B298" i="17"/>
  <c r="C297" i="17"/>
  <c r="B297" i="17"/>
  <c r="C296" i="17"/>
  <c r="B296" i="17"/>
  <c r="C295" i="17"/>
  <c r="B295" i="17"/>
  <c r="C294" i="17"/>
  <c r="B294" i="17"/>
  <c r="C293" i="17"/>
  <c r="B293" i="17"/>
  <c r="C292" i="17"/>
  <c r="B292" i="17"/>
  <c r="C291" i="17"/>
  <c r="B291" i="17"/>
  <c r="C290" i="17"/>
  <c r="B290" i="17"/>
  <c r="C289" i="17"/>
  <c r="B289" i="17"/>
  <c r="C288" i="17"/>
  <c r="B288" i="17"/>
  <c r="C287" i="17"/>
  <c r="B287" i="17"/>
  <c r="C286" i="17"/>
  <c r="B286" i="17"/>
  <c r="C285" i="17"/>
  <c r="B285" i="17"/>
  <c r="C284" i="17"/>
  <c r="B284" i="17"/>
  <c r="C283" i="17"/>
  <c r="B283" i="17"/>
  <c r="C282" i="17"/>
  <c r="B282" i="17"/>
  <c r="C281" i="17"/>
  <c r="B281" i="17"/>
  <c r="C280" i="17"/>
  <c r="B280" i="17"/>
  <c r="C279" i="17"/>
  <c r="B279" i="17"/>
  <c r="C278" i="17"/>
  <c r="B278" i="17"/>
  <c r="C277" i="17"/>
  <c r="B277" i="17"/>
  <c r="C276" i="17"/>
  <c r="B276" i="17"/>
  <c r="C275" i="17"/>
  <c r="B275" i="17"/>
  <c r="C274" i="17"/>
  <c r="B274" i="17"/>
  <c r="C273" i="17"/>
  <c r="B273" i="17"/>
  <c r="C272" i="17"/>
  <c r="B272" i="17"/>
  <c r="C271" i="17"/>
  <c r="B271" i="17"/>
  <c r="C270" i="17"/>
  <c r="B270" i="17"/>
  <c r="C269" i="17"/>
  <c r="B269" i="17"/>
  <c r="C268" i="17"/>
  <c r="B268" i="17"/>
  <c r="C267" i="17"/>
  <c r="B267" i="17"/>
  <c r="C266" i="17"/>
  <c r="B266" i="17"/>
  <c r="C265" i="17"/>
  <c r="B265" i="17"/>
  <c r="C264" i="17"/>
  <c r="B264" i="17"/>
  <c r="C263" i="17"/>
  <c r="B263" i="17"/>
  <c r="C262" i="17"/>
  <c r="B262" i="17"/>
  <c r="C261" i="17"/>
  <c r="B261" i="17"/>
  <c r="C260" i="17"/>
  <c r="B260" i="17"/>
  <c r="C259" i="17"/>
  <c r="B259" i="17"/>
  <c r="C258" i="17"/>
  <c r="B258" i="17"/>
  <c r="C257" i="17"/>
  <c r="B257" i="17"/>
  <c r="C256" i="17"/>
  <c r="B256" i="17"/>
  <c r="C255" i="17"/>
  <c r="B255" i="17"/>
  <c r="C254" i="17"/>
  <c r="B254" i="17"/>
  <c r="C253" i="17"/>
  <c r="B253" i="17"/>
  <c r="C252" i="17"/>
  <c r="B252" i="17"/>
  <c r="C251" i="17"/>
  <c r="B251" i="17"/>
  <c r="C250" i="17"/>
  <c r="B250" i="17"/>
  <c r="C249" i="17"/>
  <c r="B249" i="17"/>
  <c r="C248" i="17"/>
  <c r="B248" i="17"/>
  <c r="C247" i="17"/>
  <c r="B247" i="17"/>
  <c r="C246" i="17"/>
  <c r="B246" i="17"/>
  <c r="C245" i="17"/>
  <c r="B245" i="17"/>
  <c r="C244" i="17"/>
  <c r="B244" i="17"/>
  <c r="C243" i="17"/>
  <c r="B243" i="17"/>
  <c r="C242" i="17"/>
  <c r="B242" i="17"/>
  <c r="C241" i="17"/>
  <c r="B241" i="17"/>
  <c r="C240" i="17"/>
  <c r="B240" i="17"/>
  <c r="C239" i="17"/>
  <c r="B239" i="17"/>
  <c r="C238" i="17"/>
  <c r="B238" i="17"/>
  <c r="C237" i="17"/>
  <c r="B237" i="17"/>
  <c r="C236" i="17"/>
  <c r="B236" i="17"/>
  <c r="C235" i="17"/>
  <c r="B235" i="17"/>
  <c r="C234" i="17"/>
  <c r="B234" i="17"/>
  <c r="C233" i="17"/>
  <c r="B233" i="17"/>
  <c r="C232" i="17"/>
  <c r="B232" i="17"/>
  <c r="C231" i="17"/>
  <c r="B231" i="17"/>
  <c r="C230" i="17"/>
  <c r="B230" i="17"/>
  <c r="C229" i="17"/>
  <c r="B229" i="17"/>
  <c r="C228" i="17"/>
  <c r="B228" i="17"/>
  <c r="C227" i="17"/>
  <c r="B227" i="17"/>
  <c r="C226" i="17"/>
  <c r="B226" i="17"/>
  <c r="C225" i="17"/>
  <c r="B225" i="17"/>
  <c r="C224" i="17"/>
  <c r="B224" i="17"/>
  <c r="C223" i="17"/>
  <c r="B223" i="17"/>
  <c r="C222" i="17"/>
  <c r="B222" i="17"/>
  <c r="C221" i="17"/>
  <c r="B221" i="17"/>
  <c r="C220" i="17"/>
  <c r="B220" i="17"/>
  <c r="C219" i="17"/>
  <c r="B219" i="17"/>
  <c r="C218" i="17"/>
  <c r="B218" i="17"/>
  <c r="C217" i="17"/>
  <c r="B217" i="17"/>
  <c r="C216" i="17"/>
  <c r="B216" i="17"/>
  <c r="C215" i="17"/>
  <c r="B215" i="17"/>
  <c r="C214" i="17"/>
  <c r="B214" i="17"/>
  <c r="C213" i="17"/>
  <c r="B213" i="17"/>
  <c r="C212" i="17"/>
  <c r="B212" i="17"/>
  <c r="C211" i="17"/>
  <c r="B211" i="17"/>
  <c r="C210" i="17"/>
  <c r="B210" i="17"/>
  <c r="C209" i="17"/>
  <c r="B209" i="17"/>
  <c r="C208" i="17"/>
  <c r="B208" i="17"/>
  <c r="C207" i="17"/>
  <c r="B207" i="17"/>
  <c r="C206" i="17"/>
  <c r="B206" i="17"/>
  <c r="C205" i="17"/>
  <c r="B205" i="17"/>
  <c r="C204" i="17"/>
  <c r="B204" i="17"/>
  <c r="C203" i="17"/>
  <c r="B203" i="17"/>
  <c r="C202" i="17"/>
  <c r="B202" i="17"/>
  <c r="C201" i="17"/>
  <c r="B201" i="17"/>
  <c r="C200" i="17"/>
  <c r="B200" i="17"/>
  <c r="C199" i="17"/>
  <c r="B199" i="17"/>
  <c r="C198" i="17"/>
  <c r="B198" i="17"/>
  <c r="C197" i="17"/>
  <c r="B197" i="17"/>
  <c r="C196" i="17"/>
  <c r="B196" i="17"/>
  <c r="C195" i="17"/>
  <c r="B195" i="17"/>
  <c r="C194" i="17"/>
  <c r="B194" i="17"/>
  <c r="C193" i="17"/>
  <c r="B193" i="17"/>
  <c r="C192" i="17"/>
  <c r="B192" i="17"/>
  <c r="C191" i="17"/>
  <c r="B191" i="17"/>
  <c r="C190" i="17"/>
  <c r="B190" i="17"/>
  <c r="C189" i="17"/>
  <c r="B189" i="17"/>
  <c r="C188" i="17"/>
  <c r="B188" i="17"/>
  <c r="C187" i="17"/>
  <c r="B187" i="17"/>
  <c r="C186" i="17"/>
  <c r="B186" i="17"/>
  <c r="C185" i="17"/>
  <c r="B185" i="17"/>
  <c r="C184" i="17"/>
  <c r="B184" i="17"/>
  <c r="C183" i="17"/>
  <c r="B183" i="17"/>
  <c r="C182" i="17"/>
  <c r="B182" i="17"/>
  <c r="C181" i="17"/>
  <c r="B181" i="17"/>
  <c r="C180" i="17"/>
  <c r="B180" i="17"/>
  <c r="C179" i="17"/>
  <c r="B179" i="17"/>
  <c r="C178" i="17"/>
  <c r="B178" i="17"/>
  <c r="C177" i="17"/>
  <c r="B177" i="17"/>
  <c r="C176" i="17"/>
  <c r="B176" i="17"/>
  <c r="C175" i="17"/>
  <c r="B175" i="17"/>
  <c r="C174" i="17"/>
  <c r="B174" i="17"/>
  <c r="C173" i="17"/>
  <c r="B173" i="17"/>
  <c r="C172" i="17"/>
  <c r="B172" i="17"/>
  <c r="C171" i="17"/>
  <c r="B171" i="17"/>
  <c r="C170" i="17"/>
  <c r="B170" i="17"/>
  <c r="C169" i="17"/>
  <c r="B169" i="17"/>
  <c r="C168" i="17"/>
  <c r="B168" i="17"/>
  <c r="C167" i="17"/>
  <c r="B167" i="17"/>
  <c r="C166" i="17"/>
  <c r="B166" i="17"/>
  <c r="C165" i="17"/>
  <c r="B165" i="17"/>
  <c r="C164" i="17"/>
  <c r="B164" i="17"/>
  <c r="C163" i="17"/>
  <c r="B163" i="17"/>
  <c r="C162" i="17"/>
  <c r="B162" i="17"/>
  <c r="C161" i="17"/>
  <c r="B161" i="17"/>
  <c r="C160" i="17"/>
  <c r="B160" i="17"/>
  <c r="C159" i="17"/>
  <c r="B159" i="17"/>
  <c r="C158" i="17"/>
  <c r="B158" i="17"/>
  <c r="C157" i="17"/>
  <c r="B157" i="17"/>
  <c r="C156" i="17"/>
  <c r="B156" i="17"/>
  <c r="C155" i="17"/>
  <c r="B155" i="17"/>
  <c r="C154" i="17"/>
  <c r="B154" i="17"/>
  <c r="C153" i="17"/>
  <c r="B153" i="17"/>
  <c r="C152" i="17"/>
  <c r="B152" i="17"/>
  <c r="C151" i="17"/>
  <c r="B151" i="17"/>
  <c r="C150" i="17"/>
  <c r="B150" i="17"/>
  <c r="C149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C127" i="17"/>
  <c r="B127" i="17"/>
  <c r="C126" i="17"/>
  <c r="B126" i="17"/>
  <c r="C125" i="17"/>
  <c r="B125" i="17"/>
  <c r="C124" i="17"/>
  <c r="B124" i="17"/>
  <c r="C123" i="17"/>
  <c r="B123" i="17"/>
  <c r="C122" i="17"/>
  <c r="B122" i="17"/>
  <c r="C121" i="17"/>
  <c r="B121" i="17"/>
  <c r="C120" i="17"/>
  <c r="B120" i="17"/>
  <c r="C119" i="17"/>
  <c r="B119" i="17"/>
  <c r="C118" i="17"/>
  <c r="B118" i="17"/>
  <c r="C117" i="17"/>
  <c r="B117" i="17"/>
  <c r="C116" i="17"/>
  <c r="B116" i="17"/>
  <c r="C115" i="17"/>
  <c r="B115" i="17"/>
  <c r="C114" i="17"/>
  <c r="B114" i="17"/>
  <c r="C113" i="17"/>
  <c r="B113" i="17"/>
  <c r="C112" i="17"/>
  <c r="B112" i="17"/>
  <c r="C111" i="17"/>
  <c r="B111" i="17"/>
  <c r="C110" i="17"/>
  <c r="B110" i="17"/>
  <c r="C109" i="17"/>
  <c r="B109" i="17"/>
  <c r="C108" i="17"/>
  <c r="B108" i="17"/>
  <c r="C107" i="17"/>
  <c r="B107" i="17"/>
  <c r="C106" i="17"/>
  <c r="B106" i="17"/>
  <c r="C105" i="17"/>
  <c r="B105" i="17"/>
  <c r="C104" i="17"/>
  <c r="B104" i="17"/>
  <c r="C103" i="17"/>
  <c r="B103" i="17"/>
  <c r="C102" i="17"/>
  <c r="B102" i="17"/>
  <c r="C101" i="17"/>
  <c r="B101" i="17"/>
  <c r="C100" i="17"/>
  <c r="B100" i="17"/>
  <c r="C99" i="17"/>
  <c r="B99" i="17"/>
  <c r="C98" i="17"/>
  <c r="B98" i="17"/>
  <c r="C97" i="17"/>
  <c r="B97" i="17"/>
  <c r="C96" i="17"/>
  <c r="B96" i="17"/>
  <c r="C95" i="17"/>
  <c r="B95" i="17"/>
  <c r="C94" i="17"/>
  <c r="B94" i="17"/>
  <c r="C93" i="17"/>
  <c r="B93" i="17"/>
  <c r="C92" i="17"/>
  <c r="B92" i="17"/>
  <c r="C91" i="17"/>
  <c r="B91" i="17"/>
  <c r="C90" i="17"/>
  <c r="B90" i="17"/>
  <c r="C89" i="17"/>
  <c r="B89" i="17"/>
  <c r="C88" i="17"/>
  <c r="B88" i="17"/>
  <c r="C87" i="17"/>
  <c r="B87" i="17"/>
  <c r="C86" i="17"/>
  <c r="B86" i="17"/>
  <c r="C85" i="17"/>
  <c r="B85" i="17"/>
  <c r="C84" i="17"/>
  <c r="B84" i="17"/>
  <c r="C83" i="17"/>
  <c r="B83" i="17"/>
  <c r="C82" i="17"/>
  <c r="B82" i="17"/>
  <c r="C81" i="17"/>
  <c r="B81" i="17"/>
  <c r="C80" i="17"/>
  <c r="B80" i="17"/>
  <c r="C79" i="17"/>
  <c r="B79" i="17"/>
  <c r="C78" i="17"/>
  <c r="B78" i="17"/>
  <c r="C77" i="17"/>
  <c r="B77" i="17"/>
  <c r="C76" i="17"/>
  <c r="B76" i="17"/>
  <c r="C75" i="17"/>
  <c r="B75" i="17"/>
  <c r="C74" i="17"/>
  <c r="B74" i="17"/>
  <c r="C73" i="17"/>
  <c r="B73" i="17"/>
  <c r="C72" i="17"/>
  <c r="B72" i="17"/>
  <c r="C71" i="17"/>
  <c r="B71" i="17"/>
  <c r="C70" i="17"/>
  <c r="B70" i="17"/>
  <c r="C69" i="17"/>
  <c r="B69" i="17"/>
  <c r="C68" i="17"/>
  <c r="B68" i="17"/>
  <c r="C67" i="17"/>
  <c r="B67" i="17"/>
  <c r="C66" i="17"/>
  <c r="B66" i="17"/>
  <c r="C65" i="17"/>
  <c r="B65" i="17"/>
  <c r="C64" i="17"/>
  <c r="B64" i="17"/>
  <c r="C63" i="17"/>
  <c r="B63" i="17"/>
  <c r="C62" i="17"/>
  <c r="B62" i="17"/>
  <c r="C61" i="17"/>
  <c r="B61" i="17"/>
  <c r="C60" i="17"/>
  <c r="B60" i="17"/>
  <c r="C59" i="17"/>
  <c r="B59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337" i="16"/>
  <c r="B337" i="16"/>
  <c r="C336" i="16"/>
  <c r="B336" i="16"/>
  <c r="C335" i="16"/>
  <c r="B335" i="16"/>
  <c r="C334" i="16"/>
  <c r="B334" i="16"/>
  <c r="C333" i="16"/>
  <c r="B333" i="16"/>
  <c r="C332" i="16"/>
  <c r="B332" i="16"/>
  <c r="C331" i="16"/>
  <c r="B331" i="16"/>
  <c r="C330" i="16"/>
  <c r="B330" i="16"/>
  <c r="C329" i="16"/>
  <c r="B329" i="16"/>
  <c r="C328" i="16"/>
  <c r="B328" i="16"/>
  <c r="C327" i="16"/>
  <c r="B327" i="16"/>
  <c r="C326" i="16"/>
  <c r="B326" i="16"/>
  <c r="C325" i="16"/>
  <c r="B325" i="16"/>
  <c r="C324" i="16"/>
  <c r="B324" i="16"/>
  <c r="C323" i="16"/>
  <c r="B323" i="16"/>
  <c r="C322" i="16"/>
  <c r="B322" i="16"/>
  <c r="C321" i="16"/>
  <c r="B321" i="16"/>
  <c r="C320" i="16"/>
  <c r="B320" i="16"/>
  <c r="C319" i="16"/>
  <c r="B319" i="16"/>
  <c r="C318" i="16"/>
  <c r="B318" i="16"/>
  <c r="C317" i="16"/>
  <c r="B317" i="16"/>
  <c r="C316" i="16"/>
  <c r="B316" i="16"/>
  <c r="C315" i="16"/>
  <c r="B315" i="16"/>
  <c r="C314" i="16"/>
  <c r="B314" i="16"/>
  <c r="C313" i="16"/>
  <c r="B313" i="16"/>
  <c r="C312" i="16"/>
  <c r="B312" i="16"/>
  <c r="C311" i="16"/>
  <c r="B311" i="16"/>
  <c r="C310" i="16"/>
  <c r="B310" i="16"/>
  <c r="C309" i="16"/>
  <c r="B309" i="16"/>
  <c r="C308" i="16"/>
  <c r="B308" i="16"/>
  <c r="C307" i="16"/>
  <c r="B307" i="16"/>
  <c r="C306" i="16"/>
  <c r="B306" i="16"/>
  <c r="C305" i="16"/>
  <c r="B305" i="16"/>
  <c r="C304" i="16"/>
  <c r="B304" i="16"/>
  <c r="C303" i="16"/>
  <c r="B303" i="16"/>
  <c r="C302" i="16"/>
  <c r="B302" i="16"/>
  <c r="C301" i="16"/>
  <c r="B301" i="16"/>
  <c r="C300" i="16"/>
  <c r="B300" i="16"/>
  <c r="C299" i="16"/>
  <c r="B299" i="16"/>
  <c r="C298" i="16"/>
  <c r="B298" i="16"/>
  <c r="C297" i="16"/>
  <c r="B297" i="16"/>
  <c r="C296" i="16"/>
  <c r="B296" i="16"/>
  <c r="C295" i="16"/>
  <c r="B295" i="16"/>
  <c r="C294" i="16"/>
  <c r="B294" i="16"/>
  <c r="C293" i="16"/>
  <c r="B293" i="16"/>
  <c r="C292" i="16"/>
  <c r="B292" i="16"/>
  <c r="C291" i="16"/>
  <c r="B291" i="16"/>
  <c r="C290" i="16"/>
  <c r="B290" i="16"/>
  <c r="C289" i="16"/>
  <c r="B289" i="16"/>
  <c r="C288" i="16"/>
  <c r="B288" i="16"/>
  <c r="C287" i="16"/>
  <c r="B287" i="16"/>
  <c r="C286" i="16"/>
  <c r="B286" i="16"/>
  <c r="C285" i="16"/>
  <c r="B285" i="16"/>
  <c r="C284" i="16"/>
  <c r="B284" i="16"/>
  <c r="C283" i="16"/>
  <c r="B283" i="16"/>
  <c r="C282" i="16"/>
  <c r="B282" i="16"/>
  <c r="C281" i="16"/>
  <c r="B281" i="16"/>
  <c r="C280" i="16"/>
  <c r="B280" i="16"/>
  <c r="C279" i="16"/>
  <c r="B279" i="16"/>
  <c r="C278" i="16"/>
  <c r="B278" i="16"/>
  <c r="C277" i="16"/>
  <c r="B277" i="16"/>
  <c r="C276" i="16"/>
  <c r="B276" i="16"/>
  <c r="C275" i="16"/>
  <c r="B275" i="16"/>
  <c r="C274" i="16"/>
  <c r="B274" i="16"/>
  <c r="C273" i="16"/>
  <c r="B273" i="16"/>
  <c r="C272" i="16"/>
  <c r="B272" i="16"/>
  <c r="C271" i="16"/>
  <c r="B271" i="16"/>
  <c r="C270" i="16"/>
  <c r="B270" i="16"/>
  <c r="C269" i="16"/>
  <c r="B269" i="16"/>
  <c r="C268" i="16"/>
  <c r="B268" i="16"/>
  <c r="C267" i="16"/>
  <c r="B267" i="16"/>
  <c r="C266" i="16"/>
  <c r="B266" i="16"/>
  <c r="C265" i="16"/>
  <c r="B265" i="16"/>
  <c r="C264" i="16"/>
  <c r="B264" i="16"/>
  <c r="C263" i="16"/>
  <c r="B263" i="16"/>
  <c r="C262" i="16"/>
  <c r="B262" i="16"/>
  <c r="C261" i="16"/>
  <c r="B261" i="16"/>
  <c r="C260" i="16"/>
  <c r="B260" i="16"/>
  <c r="C259" i="16"/>
  <c r="B259" i="16"/>
  <c r="C258" i="16"/>
  <c r="B258" i="16"/>
  <c r="C257" i="16"/>
  <c r="B257" i="16"/>
  <c r="C256" i="16"/>
  <c r="B256" i="16"/>
  <c r="C255" i="16"/>
  <c r="B255" i="16"/>
  <c r="C254" i="16"/>
  <c r="B254" i="16"/>
  <c r="C253" i="16"/>
  <c r="B253" i="16"/>
  <c r="C252" i="16"/>
  <c r="B252" i="16"/>
  <c r="C251" i="16"/>
  <c r="B251" i="16"/>
  <c r="C250" i="16"/>
  <c r="B250" i="16"/>
  <c r="C249" i="16"/>
  <c r="B249" i="16"/>
  <c r="C248" i="16"/>
  <c r="B248" i="16"/>
  <c r="C247" i="16"/>
  <c r="B247" i="16"/>
  <c r="C246" i="16"/>
  <c r="B246" i="16"/>
  <c r="C245" i="16"/>
  <c r="B245" i="16"/>
  <c r="C244" i="16"/>
  <c r="B244" i="16"/>
  <c r="C243" i="16"/>
  <c r="B243" i="16"/>
  <c r="C242" i="16"/>
  <c r="B242" i="16"/>
  <c r="C241" i="16"/>
  <c r="B241" i="16"/>
  <c r="C240" i="16"/>
  <c r="B240" i="16"/>
  <c r="C239" i="16"/>
  <c r="B239" i="16"/>
  <c r="C238" i="16"/>
  <c r="B238" i="16"/>
  <c r="C237" i="16"/>
  <c r="B237" i="16"/>
  <c r="C236" i="16"/>
  <c r="B236" i="16"/>
  <c r="C235" i="16"/>
  <c r="B235" i="16"/>
  <c r="C234" i="16"/>
  <c r="B234" i="16"/>
  <c r="C233" i="16"/>
  <c r="B233" i="16"/>
  <c r="C232" i="16"/>
  <c r="B232" i="16"/>
  <c r="C231" i="16"/>
  <c r="B231" i="16"/>
  <c r="C230" i="16"/>
  <c r="B230" i="16"/>
  <c r="C229" i="16"/>
  <c r="B229" i="16"/>
  <c r="C228" i="16"/>
  <c r="B228" i="16"/>
  <c r="C227" i="16"/>
  <c r="B227" i="16"/>
  <c r="C226" i="16"/>
  <c r="B226" i="16"/>
  <c r="C225" i="16"/>
  <c r="B225" i="16"/>
  <c r="C224" i="16"/>
  <c r="B224" i="16"/>
  <c r="C223" i="16"/>
  <c r="B223" i="16"/>
  <c r="C222" i="16"/>
  <c r="B222" i="16"/>
  <c r="C221" i="16"/>
  <c r="B221" i="16"/>
  <c r="C220" i="16"/>
  <c r="B220" i="16"/>
  <c r="C219" i="16"/>
  <c r="B219" i="16"/>
  <c r="C218" i="16"/>
  <c r="B218" i="16"/>
  <c r="C217" i="16"/>
  <c r="B217" i="16"/>
  <c r="C216" i="16"/>
  <c r="B216" i="16"/>
  <c r="C215" i="16"/>
  <c r="B215" i="16"/>
  <c r="C214" i="16"/>
  <c r="B214" i="16"/>
  <c r="C213" i="16"/>
  <c r="B213" i="16"/>
  <c r="C212" i="16"/>
  <c r="B212" i="16"/>
  <c r="C211" i="16"/>
  <c r="B211" i="16"/>
  <c r="C210" i="16"/>
  <c r="B210" i="16"/>
  <c r="C209" i="16"/>
  <c r="B209" i="16"/>
  <c r="C208" i="16"/>
  <c r="B208" i="16"/>
  <c r="C207" i="16"/>
  <c r="B207" i="16"/>
  <c r="C206" i="16"/>
  <c r="B206" i="16"/>
  <c r="C205" i="16"/>
  <c r="B205" i="16"/>
  <c r="C204" i="16"/>
  <c r="B204" i="16"/>
  <c r="C203" i="16"/>
  <c r="B203" i="16"/>
  <c r="C202" i="16"/>
  <c r="B202" i="16"/>
  <c r="C201" i="16"/>
  <c r="B201" i="16"/>
  <c r="C200" i="16"/>
  <c r="B200" i="16"/>
  <c r="C199" i="16"/>
  <c r="B199" i="16"/>
  <c r="C198" i="16"/>
  <c r="B198" i="16"/>
  <c r="C197" i="16"/>
  <c r="B197" i="16"/>
  <c r="C196" i="16"/>
  <c r="B196" i="16"/>
  <c r="C195" i="16"/>
  <c r="B195" i="16"/>
  <c r="C194" i="16"/>
  <c r="B194" i="16"/>
  <c r="C193" i="16"/>
  <c r="B193" i="16"/>
  <c r="C192" i="16"/>
  <c r="B192" i="16"/>
  <c r="C191" i="16"/>
  <c r="B191" i="16"/>
  <c r="C190" i="16"/>
  <c r="B190" i="16"/>
  <c r="C189" i="16"/>
  <c r="B189" i="16"/>
  <c r="C188" i="16"/>
  <c r="B188" i="16"/>
  <c r="C187" i="16"/>
  <c r="B187" i="16"/>
  <c r="C186" i="16"/>
  <c r="B186" i="16"/>
  <c r="C185" i="16"/>
  <c r="B185" i="16"/>
  <c r="C184" i="16"/>
  <c r="B184" i="16"/>
  <c r="C183" i="16"/>
  <c r="B183" i="16"/>
  <c r="C182" i="16"/>
  <c r="B182" i="16"/>
  <c r="C181" i="16"/>
  <c r="B181" i="16"/>
  <c r="C180" i="16"/>
  <c r="B180" i="16"/>
  <c r="C179" i="16"/>
  <c r="B179" i="16"/>
  <c r="C178" i="16"/>
  <c r="B178" i="16"/>
  <c r="C177" i="16"/>
  <c r="B177" i="16"/>
  <c r="C176" i="16"/>
  <c r="B176" i="16"/>
  <c r="C175" i="16"/>
  <c r="B175" i="16"/>
  <c r="C174" i="16"/>
  <c r="B174" i="16"/>
  <c r="C173" i="16"/>
  <c r="B173" i="16"/>
  <c r="C172" i="16"/>
  <c r="B172" i="16"/>
  <c r="C171" i="16"/>
  <c r="B171" i="16"/>
  <c r="C170" i="16"/>
  <c r="B170" i="16"/>
  <c r="C169" i="16"/>
  <c r="B169" i="16"/>
  <c r="C168" i="16"/>
  <c r="B168" i="16"/>
  <c r="C167" i="16"/>
  <c r="B167" i="16"/>
  <c r="C166" i="16"/>
  <c r="B166" i="16"/>
  <c r="C165" i="16"/>
  <c r="B165" i="16"/>
  <c r="C164" i="16"/>
  <c r="B164" i="16"/>
  <c r="C163" i="16"/>
  <c r="B163" i="16"/>
  <c r="C162" i="16"/>
  <c r="B162" i="16"/>
  <c r="C161" i="16"/>
  <c r="B161" i="16"/>
  <c r="C160" i="16"/>
  <c r="B160" i="16"/>
  <c r="C159" i="16"/>
  <c r="B159" i="16"/>
  <c r="C158" i="16"/>
  <c r="B158" i="16"/>
  <c r="C157" i="16"/>
  <c r="B157" i="16"/>
  <c r="C156" i="16"/>
  <c r="B156" i="16"/>
  <c r="C155" i="16"/>
  <c r="B155" i="16"/>
  <c r="C154" i="16"/>
  <c r="B154" i="16"/>
  <c r="C153" i="16"/>
  <c r="B153" i="16"/>
  <c r="C152" i="16"/>
  <c r="B152" i="16"/>
  <c r="C151" i="16"/>
  <c r="B151" i="16"/>
  <c r="C150" i="16"/>
  <c r="B150" i="16"/>
  <c r="C149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C127" i="16"/>
  <c r="B127" i="16"/>
  <c r="C126" i="16"/>
  <c r="B126" i="16"/>
  <c r="C125" i="16"/>
  <c r="B125" i="16"/>
  <c r="C124" i="16"/>
  <c r="B124" i="16"/>
  <c r="C123" i="16"/>
  <c r="B123" i="16"/>
  <c r="C122" i="16"/>
  <c r="B122" i="16"/>
  <c r="C121" i="16"/>
  <c r="B121" i="16"/>
  <c r="C120" i="16"/>
  <c r="B120" i="16"/>
  <c r="C119" i="16"/>
  <c r="B119" i="16"/>
  <c r="C118" i="16"/>
  <c r="B118" i="16"/>
  <c r="C117" i="16"/>
  <c r="B117" i="16"/>
  <c r="C116" i="16"/>
  <c r="B116" i="16"/>
  <c r="C115" i="16"/>
  <c r="B115" i="16"/>
  <c r="C114" i="16"/>
  <c r="B114" i="16"/>
  <c r="C113" i="16"/>
  <c r="B113" i="16"/>
  <c r="C112" i="16"/>
  <c r="B112" i="16"/>
  <c r="C111" i="16"/>
  <c r="B111" i="16"/>
  <c r="C110" i="16"/>
  <c r="B110" i="16"/>
  <c r="C109" i="16"/>
  <c r="B109" i="16"/>
  <c r="C108" i="16"/>
  <c r="B108" i="16"/>
  <c r="C107" i="16"/>
  <c r="B107" i="16"/>
  <c r="C106" i="16"/>
  <c r="B106" i="16"/>
  <c r="C105" i="16"/>
  <c r="B105" i="16"/>
  <c r="C104" i="16"/>
  <c r="B104" i="16"/>
  <c r="C103" i="16"/>
  <c r="B103" i="16"/>
  <c r="C102" i="16"/>
  <c r="B102" i="16"/>
  <c r="C101" i="16"/>
  <c r="B101" i="16"/>
  <c r="C100" i="16"/>
  <c r="B100" i="16"/>
  <c r="C99" i="16"/>
  <c r="B99" i="16"/>
  <c r="C98" i="16"/>
  <c r="B98" i="16"/>
  <c r="C97" i="16"/>
  <c r="B97" i="16"/>
  <c r="C96" i="16"/>
  <c r="B96" i="16"/>
  <c r="C95" i="16"/>
  <c r="B95" i="16"/>
  <c r="C94" i="16"/>
  <c r="B94" i="16"/>
  <c r="C93" i="16"/>
  <c r="B93" i="16"/>
  <c r="C92" i="16"/>
  <c r="B92" i="16"/>
  <c r="C91" i="16"/>
  <c r="B91" i="16"/>
  <c r="C90" i="16"/>
  <c r="B90" i="16"/>
  <c r="C89" i="16"/>
  <c r="B89" i="16"/>
  <c r="C88" i="16"/>
  <c r="B88" i="16"/>
  <c r="C87" i="16"/>
  <c r="B87" i="16"/>
  <c r="C86" i="16"/>
  <c r="B86" i="16"/>
  <c r="C85" i="16"/>
  <c r="B85" i="16"/>
  <c r="C84" i="16"/>
  <c r="B84" i="16"/>
  <c r="C83" i="16"/>
  <c r="B83" i="16"/>
  <c r="C82" i="16"/>
  <c r="B82" i="16"/>
  <c r="C81" i="16"/>
  <c r="B81" i="16"/>
  <c r="C80" i="16"/>
  <c r="B80" i="16"/>
  <c r="C79" i="16"/>
  <c r="B79" i="16"/>
  <c r="C78" i="16"/>
  <c r="B78" i="16"/>
  <c r="C77" i="16"/>
  <c r="B77" i="16"/>
  <c r="C76" i="16"/>
  <c r="B76" i="16"/>
  <c r="C75" i="16"/>
  <c r="B75" i="16"/>
  <c r="C74" i="16"/>
  <c r="B74" i="16"/>
  <c r="C73" i="16"/>
  <c r="B73" i="16"/>
  <c r="C72" i="16"/>
  <c r="B72" i="16"/>
  <c r="C71" i="16"/>
  <c r="B71" i="16"/>
  <c r="C70" i="16"/>
  <c r="B70" i="16"/>
  <c r="C69" i="16"/>
  <c r="B69" i="16"/>
  <c r="C68" i="16"/>
  <c r="B68" i="16"/>
  <c r="C67" i="16"/>
  <c r="B67" i="16"/>
  <c r="C66" i="16"/>
  <c r="B66" i="16"/>
  <c r="C65" i="16"/>
  <c r="B65" i="16"/>
  <c r="C64" i="16"/>
  <c r="B64" i="16"/>
  <c r="C63" i="16"/>
  <c r="B63" i="16"/>
  <c r="C62" i="16"/>
  <c r="B62" i="16"/>
  <c r="C61" i="16"/>
  <c r="B61" i="16"/>
  <c r="C60" i="16"/>
  <c r="B60" i="16"/>
  <c r="C59" i="16"/>
  <c r="B59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337" i="15"/>
  <c r="B337" i="15"/>
  <c r="C336" i="15"/>
  <c r="B336" i="15"/>
  <c r="C335" i="15"/>
  <c r="B335" i="15"/>
  <c r="C334" i="15"/>
  <c r="B334" i="15"/>
  <c r="C333" i="15"/>
  <c r="B333" i="15"/>
  <c r="C332" i="15"/>
  <c r="B332" i="15"/>
  <c r="C331" i="15"/>
  <c r="B331" i="15"/>
  <c r="C330" i="15"/>
  <c r="B330" i="15"/>
  <c r="C329" i="15"/>
  <c r="B329" i="15"/>
  <c r="C328" i="15"/>
  <c r="B328" i="15"/>
  <c r="C327" i="15"/>
  <c r="B327" i="15"/>
  <c r="C326" i="15"/>
  <c r="B326" i="15"/>
  <c r="C325" i="15"/>
  <c r="B325" i="15"/>
  <c r="C324" i="15"/>
  <c r="B324" i="15"/>
  <c r="C323" i="15"/>
  <c r="B323" i="15"/>
  <c r="C322" i="15"/>
  <c r="B322" i="15"/>
  <c r="C321" i="15"/>
  <c r="B321" i="15"/>
  <c r="C320" i="15"/>
  <c r="B320" i="15"/>
  <c r="C319" i="15"/>
  <c r="B319" i="15"/>
  <c r="C318" i="15"/>
  <c r="B318" i="15"/>
  <c r="C317" i="15"/>
  <c r="B317" i="15"/>
  <c r="C316" i="15"/>
  <c r="B316" i="15"/>
  <c r="C315" i="15"/>
  <c r="B315" i="15"/>
  <c r="C314" i="15"/>
  <c r="B314" i="15"/>
  <c r="C313" i="15"/>
  <c r="B313" i="15"/>
  <c r="C312" i="15"/>
  <c r="B312" i="15"/>
  <c r="C311" i="15"/>
  <c r="B311" i="15"/>
  <c r="C310" i="15"/>
  <c r="B310" i="15"/>
  <c r="C309" i="15"/>
  <c r="B309" i="15"/>
  <c r="C308" i="15"/>
  <c r="B308" i="15"/>
  <c r="C307" i="15"/>
  <c r="B307" i="15"/>
  <c r="C306" i="15"/>
  <c r="B306" i="15"/>
  <c r="C305" i="15"/>
  <c r="B305" i="15"/>
  <c r="C304" i="15"/>
  <c r="B304" i="15"/>
  <c r="C303" i="15"/>
  <c r="B303" i="15"/>
  <c r="C302" i="15"/>
  <c r="B302" i="15"/>
  <c r="C301" i="15"/>
  <c r="B301" i="15"/>
  <c r="C300" i="15"/>
  <c r="B300" i="15"/>
  <c r="C299" i="15"/>
  <c r="B299" i="15"/>
  <c r="C298" i="15"/>
  <c r="B298" i="15"/>
  <c r="C297" i="15"/>
  <c r="B297" i="15"/>
  <c r="C296" i="15"/>
  <c r="B296" i="15"/>
  <c r="C295" i="15"/>
  <c r="B295" i="15"/>
  <c r="C294" i="15"/>
  <c r="B294" i="15"/>
  <c r="C293" i="15"/>
  <c r="B293" i="15"/>
  <c r="C292" i="15"/>
  <c r="B292" i="15"/>
  <c r="C291" i="15"/>
  <c r="B291" i="15"/>
  <c r="C290" i="15"/>
  <c r="B290" i="15"/>
  <c r="C289" i="15"/>
  <c r="B289" i="15"/>
  <c r="C288" i="15"/>
  <c r="B288" i="15"/>
  <c r="C287" i="15"/>
  <c r="B287" i="15"/>
  <c r="C286" i="15"/>
  <c r="B286" i="15"/>
  <c r="C285" i="15"/>
  <c r="B285" i="15"/>
  <c r="C284" i="15"/>
  <c r="B284" i="15"/>
  <c r="C283" i="15"/>
  <c r="B283" i="15"/>
  <c r="C282" i="15"/>
  <c r="B282" i="15"/>
  <c r="C281" i="15"/>
  <c r="B281" i="15"/>
  <c r="C280" i="15"/>
  <c r="B280" i="15"/>
  <c r="C279" i="15"/>
  <c r="B279" i="15"/>
  <c r="C278" i="15"/>
  <c r="B278" i="15"/>
  <c r="C277" i="15"/>
  <c r="B277" i="15"/>
  <c r="C276" i="15"/>
  <c r="B276" i="15"/>
  <c r="C275" i="15"/>
  <c r="B275" i="15"/>
  <c r="C274" i="15"/>
  <c r="B274" i="15"/>
  <c r="C273" i="15"/>
  <c r="B273" i="15"/>
  <c r="C272" i="15"/>
  <c r="B272" i="15"/>
  <c r="C271" i="15"/>
  <c r="B271" i="15"/>
  <c r="C270" i="15"/>
  <c r="B270" i="15"/>
  <c r="C269" i="15"/>
  <c r="B269" i="15"/>
  <c r="C268" i="15"/>
  <c r="B268" i="15"/>
  <c r="C267" i="15"/>
  <c r="B267" i="15"/>
  <c r="C266" i="15"/>
  <c r="B266" i="15"/>
  <c r="C265" i="15"/>
  <c r="B265" i="15"/>
  <c r="C264" i="15"/>
  <c r="B264" i="15"/>
  <c r="C263" i="15"/>
  <c r="B263" i="15"/>
  <c r="C262" i="15"/>
  <c r="B262" i="15"/>
  <c r="C261" i="15"/>
  <c r="B261" i="15"/>
  <c r="C260" i="15"/>
  <c r="B260" i="15"/>
  <c r="C259" i="15"/>
  <c r="B259" i="15"/>
  <c r="C258" i="15"/>
  <c r="B258" i="15"/>
  <c r="C257" i="15"/>
  <c r="B257" i="15"/>
  <c r="C256" i="15"/>
  <c r="B256" i="15"/>
  <c r="C255" i="15"/>
  <c r="B255" i="15"/>
  <c r="C254" i="15"/>
  <c r="B254" i="15"/>
  <c r="C253" i="15"/>
  <c r="B253" i="15"/>
  <c r="C252" i="15"/>
  <c r="B252" i="15"/>
  <c r="C251" i="15"/>
  <c r="B251" i="15"/>
  <c r="C250" i="15"/>
  <c r="B250" i="15"/>
  <c r="C249" i="15"/>
  <c r="B249" i="15"/>
  <c r="C248" i="15"/>
  <c r="B248" i="15"/>
  <c r="C247" i="15"/>
  <c r="B247" i="15"/>
  <c r="C246" i="15"/>
  <c r="B246" i="15"/>
  <c r="C245" i="15"/>
  <c r="B245" i="15"/>
  <c r="C244" i="15"/>
  <c r="B244" i="15"/>
  <c r="C243" i="15"/>
  <c r="B243" i="15"/>
  <c r="C242" i="15"/>
  <c r="B242" i="15"/>
  <c r="C241" i="15"/>
  <c r="B241" i="15"/>
  <c r="C240" i="15"/>
  <c r="B240" i="15"/>
  <c r="C239" i="15"/>
  <c r="B239" i="15"/>
  <c r="C238" i="15"/>
  <c r="B238" i="15"/>
  <c r="C237" i="15"/>
  <c r="B237" i="15"/>
  <c r="C236" i="15"/>
  <c r="B236" i="15"/>
  <c r="C235" i="15"/>
  <c r="B235" i="15"/>
  <c r="C234" i="15"/>
  <c r="B234" i="15"/>
  <c r="C233" i="15"/>
  <c r="B233" i="15"/>
  <c r="C232" i="15"/>
  <c r="B232" i="15"/>
  <c r="C231" i="15"/>
  <c r="B231" i="15"/>
  <c r="C230" i="15"/>
  <c r="B230" i="15"/>
  <c r="C229" i="15"/>
  <c r="B229" i="15"/>
  <c r="C228" i="15"/>
  <c r="B228" i="15"/>
  <c r="C227" i="15"/>
  <c r="B227" i="15"/>
  <c r="C226" i="15"/>
  <c r="B226" i="15"/>
  <c r="C225" i="15"/>
  <c r="B225" i="15"/>
  <c r="C224" i="15"/>
  <c r="B224" i="15"/>
  <c r="C223" i="15"/>
  <c r="B223" i="15"/>
  <c r="C222" i="15"/>
  <c r="B222" i="15"/>
  <c r="C221" i="15"/>
  <c r="B221" i="15"/>
  <c r="C220" i="15"/>
  <c r="B220" i="15"/>
  <c r="C219" i="15"/>
  <c r="B219" i="15"/>
  <c r="C218" i="15"/>
  <c r="B218" i="15"/>
  <c r="C217" i="15"/>
  <c r="B217" i="15"/>
  <c r="C216" i="15"/>
  <c r="B216" i="15"/>
  <c r="C215" i="15"/>
  <c r="B215" i="15"/>
  <c r="C214" i="15"/>
  <c r="B214" i="15"/>
  <c r="C213" i="15"/>
  <c r="B213" i="15"/>
  <c r="C212" i="15"/>
  <c r="B212" i="15"/>
  <c r="C211" i="15"/>
  <c r="B211" i="15"/>
  <c r="C210" i="15"/>
  <c r="B210" i="15"/>
  <c r="C209" i="15"/>
  <c r="B209" i="15"/>
  <c r="C208" i="15"/>
  <c r="B208" i="15"/>
  <c r="C207" i="15"/>
  <c r="B207" i="15"/>
  <c r="C206" i="15"/>
  <c r="B206" i="15"/>
  <c r="C205" i="15"/>
  <c r="B205" i="15"/>
  <c r="C204" i="15"/>
  <c r="B204" i="15"/>
  <c r="C203" i="15"/>
  <c r="B203" i="15"/>
  <c r="C202" i="15"/>
  <c r="B202" i="15"/>
  <c r="C201" i="15"/>
  <c r="B201" i="15"/>
  <c r="C200" i="15"/>
  <c r="B200" i="15"/>
  <c r="C199" i="15"/>
  <c r="B199" i="15"/>
  <c r="C198" i="15"/>
  <c r="B198" i="15"/>
  <c r="C197" i="15"/>
  <c r="B197" i="15"/>
  <c r="C196" i="15"/>
  <c r="B196" i="15"/>
  <c r="C195" i="15"/>
  <c r="B195" i="15"/>
  <c r="C194" i="15"/>
  <c r="B194" i="15"/>
  <c r="C193" i="15"/>
  <c r="B193" i="15"/>
  <c r="C192" i="15"/>
  <c r="B192" i="15"/>
  <c r="C191" i="15"/>
  <c r="B191" i="15"/>
  <c r="C190" i="15"/>
  <c r="B190" i="15"/>
  <c r="C189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182" i="15"/>
  <c r="B182" i="15"/>
  <c r="C181" i="15"/>
  <c r="B181" i="15"/>
  <c r="C180" i="15"/>
  <c r="B180" i="15"/>
  <c r="C179" i="15"/>
  <c r="B179" i="15"/>
  <c r="C178" i="15"/>
  <c r="B178" i="15"/>
  <c r="C177" i="15"/>
  <c r="B177" i="15"/>
  <c r="C176" i="15"/>
  <c r="B176" i="15"/>
  <c r="C175" i="15"/>
  <c r="B175" i="15"/>
  <c r="C174" i="15"/>
  <c r="B174" i="15"/>
  <c r="C173" i="15"/>
  <c r="B173" i="15"/>
  <c r="C172" i="15"/>
  <c r="B172" i="15"/>
  <c r="C171" i="15"/>
  <c r="B171" i="15"/>
  <c r="C170" i="15"/>
  <c r="B170" i="15"/>
  <c r="C169" i="15"/>
  <c r="B169" i="15"/>
  <c r="C168" i="15"/>
  <c r="B168" i="15"/>
  <c r="C167" i="15"/>
  <c r="B167" i="15"/>
  <c r="C166" i="15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C158" i="15"/>
  <c r="B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C127" i="15"/>
  <c r="B127" i="15"/>
  <c r="C126" i="15"/>
  <c r="B126" i="15"/>
  <c r="C125" i="15"/>
  <c r="B125" i="15"/>
  <c r="C124" i="15"/>
  <c r="B124" i="15"/>
  <c r="C123" i="15"/>
  <c r="B123" i="15"/>
  <c r="C122" i="15"/>
  <c r="B122" i="15"/>
  <c r="C121" i="15"/>
  <c r="B121" i="15"/>
  <c r="C120" i="15"/>
  <c r="B120" i="15"/>
  <c r="C119" i="15"/>
  <c r="B119" i="15"/>
  <c r="C118" i="15"/>
  <c r="B118" i="15"/>
  <c r="C117" i="15"/>
  <c r="B117" i="15"/>
  <c r="C116" i="15"/>
  <c r="B116" i="15"/>
  <c r="C115" i="15"/>
  <c r="B115" i="15"/>
  <c r="C114" i="15"/>
  <c r="B114" i="15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337" i="14"/>
  <c r="B337" i="14"/>
  <c r="C336" i="14"/>
  <c r="B336" i="14"/>
  <c r="C335" i="14"/>
  <c r="B335" i="14"/>
  <c r="C334" i="14"/>
  <c r="B334" i="14"/>
  <c r="C333" i="14"/>
  <c r="B333" i="14"/>
  <c r="C332" i="14"/>
  <c r="B332" i="14"/>
  <c r="C331" i="14"/>
  <c r="B331" i="14"/>
  <c r="C330" i="14"/>
  <c r="B330" i="14"/>
  <c r="C329" i="14"/>
  <c r="B329" i="14"/>
  <c r="C328" i="14"/>
  <c r="B328" i="14"/>
  <c r="C327" i="14"/>
  <c r="B327" i="14"/>
  <c r="C326" i="14"/>
  <c r="B326" i="14"/>
  <c r="C325" i="14"/>
  <c r="B325" i="14"/>
  <c r="C324" i="14"/>
  <c r="B324" i="14"/>
  <c r="C323" i="14"/>
  <c r="B323" i="14"/>
  <c r="C322" i="14"/>
  <c r="B322" i="14"/>
  <c r="C321" i="14"/>
  <c r="B321" i="14"/>
  <c r="C320" i="14"/>
  <c r="B320" i="14"/>
  <c r="C319" i="14"/>
  <c r="B319" i="14"/>
  <c r="C318" i="14"/>
  <c r="B318" i="14"/>
  <c r="C317" i="14"/>
  <c r="B317" i="14"/>
  <c r="C316" i="14"/>
  <c r="B316" i="14"/>
  <c r="C315" i="14"/>
  <c r="B315" i="14"/>
  <c r="C314" i="14"/>
  <c r="B314" i="14"/>
  <c r="C313" i="14"/>
  <c r="B313" i="14"/>
  <c r="C312" i="14"/>
  <c r="B312" i="14"/>
  <c r="C311" i="14"/>
  <c r="B311" i="14"/>
  <c r="C310" i="14"/>
  <c r="B310" i="14"/>
  <c r="C309" i="14"/>
  <c r="B309" i="14"/>
  <c r="C308" i="14"/>
  <c r="B308" i="14"/>
  <c r="C307" i="14"/>
  <c r="B307" i="14"/>
  <c r="C306" i="14"/>
  <c r="B306" i="14"/>
  <c r="C305" i="14"/>
  <c r="B305" i="14"/>
  <c r="C304" i="14"/>
  <c r="B304" i="14"/>
  <c r="C303" i="14"/>
  <c r="B303" i="14"/>
  <c r="C302" i="14"/>
  <c r="B302" i="14"/>
  <c r="C301" i="14"/>
  <c r="B301" i="14"/>
  <c r="C300" i="14"/>
  <c r="B300" i="14"/>
  <c r="C299" i="14"/>
  <c r="B299" i="14"/>
  <c r="C298" i="14"/>
  <c r="B298" i="14"/>
  <c r="C297" i="14"/>
  <c r="B297" i="14"/>
  <c r="C296" i="14"/>
  <c r="B296" i="14"/>
  <c r="C295" i="14"/>
  <c r="B295" i="14"/>
  <c r="C294" i="14"/>
  <c r="B294" i="14"/>
  <c r="C293" i="14"/>
  <c r="B293" i="14"/>
  <c r="C292" i="14"/>
  <c r="B292" i="14"/>
  <c r="C291" i="14"/>
  <c r="B291" i="14"/>
  <c r="C290" i="14"/>
  <c r="B290" i="14"/>
  <c r="C289" i="14"/>
  <c r="B289" i="14"/>
  <c r="C288" i="14"/>
  <c r="B288" i="14"/>
  <c r="C287" i="14"/>
  <c r="B287" i="14"/>
  <c r="C286" i="14"/>
  <c r="B286" i="14"/>
  <c r="C285" i="14"/>
  <c r="B285" i="14"/>
  <c r="C284" i="14"/>
  <c r="B284" i="14"/>
  <c r="C283" i="14"/>
  <c r="B283" i="14"/>
  <c r="C282" i="14"/>
  <c r="B282" i="14"/>
  <c r="C281" i="14"/>
  <c r="B281" i="14"/>
  <c r="C280" i="14"/>
  <c r="B280" i="14"/>
  <c r="C279" i="14"/>
  <c r="B279" i="14"/>
  <c r="C278" i="14"/>
  <c r="B278" i="14"/>
  <c r="C277" i="14"/>
  <c r="B277" i="14"/>
  <c r="C276" i="14"/>
  <c r="B276" i="14"/>
  <c r="C275" i="14"/>
  <c r="B275" i="14"/>
  <c r="C274" i="14"/>
  <c r="B274" i="14"/>
  <c r="C273" i="14"/>
  <c r="B273" i="14"/>
  <c r="C272" i="14"/>
  <c r="B272" i="14"/>
  <c r="C271" i="14"/>
  <c r="B271" i="14"/>
  <c r="C270" i="14"/>
  <c r="B270" i="14"/>
  <c r="C269" i="14"/>
  <c r="B269" i="14"/>
  <c r="C268" i="14"/>
  <c r="B268" i="14"/>
  <c r="C267" i="14"/>
  <c r="B267" i="14"/>
  <c r="C266" i="14"/>
  <c r="B266" i="14"/>
  <c r="C265" i="14"/>
  <c r="B265" i="14"/>
  <c r="C264" i="14"/>
  <c r="B264" i="14"/>
  <c r="C263" i="14"/>
  <c r="B263" i="14"/>
  <c r="C262" i="14"/>
  <c r="B262" i="14"/>
  <c r="C261" i="14"/>
  <c r="B261" i="14"/>
  <c r="C260" i="14"/>
  <c r="B260" i="14"/>
  <c r="C259" i="14"/>
  <c r="B259" i="14"/>
  <c r="C258" i="14"/>
  <c r="B258" i="14"/>
  <c r="C257" i="14"/>
  <c r="B257" i="14"/>
  <c r="C256" i="14"/>
  <c r="B256" i="14"/>
  <c r="C255" i="14"/>
  <c r="B255" i="14"/>
  <c r="C254" i="14"/>
  <c r="B254" i="14"/>
  <c r="C253" i="14"/>
  <c r="B253" i="14"/>
  <c r="C252" i="14"/>
  <c r="B252" i="14"/>
  <c r="C251" i="14"/>
  <c r="B251" i="14"/>
  <c r="C250" i="14"/>
  <c r="B250" i="14"/>
  <c r="C249" i="14"/>
  <c r="B249" i="14"/>
  <c r="C248" i="14"/>
  <c r="B248" i="14"/>
  <c r="C247" i="14"/>
  <c r="B247" i="14"/>
  <c r="C246" i="14"/>
  <c r="B246" i="14"/>
  <c r="C245" i="14"/>
  <c r="B245" i="14"/>
  <c r="C244" i="14"/>
  <c r="B244" i="14"/>
  <c r="C243" i="14"/>
  <c r="B243" i="14"/>
  <c r="C242" i="14"/>
  <c r="B242" i="14"/>
  <c r="C241" i="14"/>
  <c r="B241" i="14"/>
  <c r="C240" i="14"/>
  <c r="B240" i="14"/>
  <c r="C239" i="14"/>
  <c r="B239" i="14"/>
  <c r="C238" i="14"/>
  <c r="B238" i="14"/>
  <c r="C237" i="14"/>
  <c r="B237" i="14"/>
  <c r="C236" i="14"/>
  <c r="B236" i="14"/>
  <c r="C235" i="14"/>
  <c r="B235" i="14"/>
  <c r="C234" i="14"/>
  <c r="B234" i="14"/>
  <c r="C233" i="14"/>
  <c r="B233" i="14"/>
  <c r="C232" i="14"/>
  <c r="B232" i="14"/>
  <c r="C231" i="14"/>
  <c r="B231" i="14"/>
  <c r="C230" i="14"/>
  <c r="B230" i="14"/>
  <c r="C229" i="14"/>
  <c r="B229" i="14"/>
  <c r="C228" i="14"/>
  <c r="B228" i="14"/>
  <c r="C227" i="14"/>
  <c r="B227" i="14"/>
  <c r="C226" i="14"/>
  <c r="B226" i="14"/>
  <c r="C225" i="14"/>
  <c r="B225" i="14"/>
  <c r="C224" i="14"/>
  <c r="B224" i="14"/>
  <c r="C223" i="14"/>
  <c r="B223" i="14"/>
  <c r="C222" i="14"/>
  <c r="B222" i="14"/>
  <c r="C221" i="14"/>
  <c r="B221" i="14"/>
  <c r="C220" i="14"/>
  <c r="B220" i="14"/>
  <c r="C219" i="14"/>
  <c r="B219" i="14"/>
  <c r="C218" i="14"/>
  <c r="B218" i="14"/>
  <c r="C217" i="14"/>
  <c r="B217" i="14"/>
  <c r="C216" i="14"/>
  <c r="B216" i="14"/>
  <c r="C215" i="14"/>
  <c r="B215" i="14"/>
  <c r="C214" i="14"/>
  <c r="B214" i="14"/>
  <c r="C213" i="14"/>
  <c r="B213" i="14"/>
  <c r="C212" i="14"/>
  <c r="B212" i="14"/>
  <c r="C211" i="14"/>
  <c r="B211" i="14"/>
  <c r="C210" i="14"/>
  <c r="B210" i="14"/>
  <c r="C209" i="14"/>
  <c r="B209" i="14"/>
  <c r="C208" i="14"/>
  <c r="B208" i="14"/>
  <c r="C207" i="14"/>
  <c r="B207" i="14"/>
  <c r="C206" i="14"/>
  <c r="B206" i="14"/>
  <c r="C205" i="14"/>
  <c r="B205" i="14"/>
  <c r="C204" i="14"/>
  <c r="B204" i="14"/>
  <c r="C203" i="14"/>
  <c r="B203" i="14"/>
  <c r="C202" i="14"/>
  <c r="B202" i="14"/>
  <c r="C201" i="14"/>
  <c r="B201" i="14"/>
  <c r="C200" i="14"/>
  <c r="B200" i="14"/>
  <c r="C199" i="14"/>
  <c r="B199" i="14"/>
  <c r="C198" i="14"/>
  <c r="B198" i="14"/>
  <c r="C197" i="14"/>
  <c r="B197" i="14"/>
  <c r="C196" i="14"/>
  <c r="B196" i="14"/>
  <c r="C195" i="14"/>
  <c r="B195" i="14"/>
  <c r="C194" i="14"/>
  <c r="B194" i="14"/>
  <c r="C193" i="14"/>
  <c r="B193" i="14"/>
  <c r="C192" i="14"/>
  <c r="B192" i="14"/>
  <c r="C191" i="14"/>
  <c r="B191" i="14"/>
  <c r="C190" i="14"/>
  <c r="B190" i="14"/>
  <c r="C189" i="14"/>
  <c r="B189" i="14"/>
  <c r="C188" i="14"/>
  <c r="B188" i="14"/>
  <c r="C187" i="14"/>
  <c r="B187" i="14"/>
  <c r="C186" i="14"/>
  <c r="B186" i="14"/>
  <c r="C185" i="14"/>
  <c r="B185" i="14"/>
  <c r="C184" i="14"/>
  <c r="B184" i="14"/>
  <c r="C183" i="14"/>
  <c r="B183" i="14"/>
  <c r="C182" i="14"/>
  <c r="B182" i="14"/>
  <c r="C181" i="14"/>
  <c r="B181" i="14"/>
  <c r="C180" i="14"/>
  <c r="B180" i="14"/>
  <c r="C179" i="14"/>
  <c r="B179" i="14"/>
  <c r="C178" i="14"/>
  <c r="B178" i="14"/>
  <c r="C177" i="14"/>
  <c r="B177" i="14"/>
  <c r="C176" i="14"/>
  <c r="B176" i="14"/>
  <c r="C175" i="14"/>
  <c r="B175" i="14"/>
  <c r="C174" i="14"/>
  <c r="B174" i="14"/>
  <c r="C173" i="14"/>
  <c r="B173" i="14"/>
  <c r="C172" i="14"/>
  <c r="B172" i="14"/>
  <c r="C171" i="14"/>
  <c r="B171" i="14"/>
  <c r="C170" i="14"/>
  <c r="B170" i="14"/>
  <c r="C169" i="14"/>
  <c r="B169" i="14"/>
  <c r="C168" i="14"/>
  <c r="B168" i="14"/>
  <c r="C167" i="14"/>
  <c r="B167" i="14"/>
  <c r="C166" i="14"/>
  <c r="B166" i="14"/>
  <c r="C165" i="14"/>
  <c r="B165" i="14"/>
  <c r="C164" i="14"/>
  <c r="B164" i="14"/>
  <c r="C163" i="14"/>
  <c r="B163" i="14"/>
  <c r="C162" i="14"/>
  <c r="B162" i="14"/>
  <c r="C161" i="14"/>
  <c r="B161" i="14"/>
  <c r="C160" i="14"/>
  <c r="B160" i="14"/>
  <c r="C159" i="14"/>
  <c r="B159" i="14"/>
  <c r="C158" i="14"/>
  <c r="B158" i="14"/>
  <c r="C157" i="14"/>
  <c r="B157" i="14"/>
  <c r="C156" i="14"/>
  <c r="B156" i="14"/>
  <c r="C155" i="14"/>
  <c r="B155" i="14"/>
  <c r="C154" i="14"/>
  <c r="B154" i="14"/>
  <c r="C153" i="14"/>
  <c r="B153" i="14"/>
  <c r="C152" i="14"/>
  <c r="B152" i="14"/>
  <c r="C151" i="14"/>
  <c r="B151" i="14"/>
  <c r="C150" i="14"/>
  <c r="B150" i="14"/>
  <c r="C149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C127" i="14"/>
  <c r="B127" i="14"/>
  <c r="C126" i="14"/>
  <c r="B126" i="14"/>
  <c r="C125" i="14"/>
  <c r="B125" i="14"/>
  <c r="C124" i="14"/>
  <c r="B124" i="14"/>
  <c r="C123" i="14"/>
  <c r="B123" i="14"/>
  <c r="C122" i="14"/>
  <c r="B122" i="14"/>
  <c r="C121" i="14"/>
  <c r="B121" i="14"/>
  <c r="C120" i="14"/>
  <c r="B120" i="14"/>
  <c r="C119" i="14"/>
  <c r="B119" i="14"/>
  <c r="C118" i="14"/>
  <c r="B118" i="14"/>
  <c r="C117" i="14"/>
  <c r="B117" i="14"/>
  <c r="C116" i="14"/>
  <c r="B116" i="14"/>
  <c r="C115" i="14"/>
  <c r="B115" i="14"/>
  <c r="C114" i="14"/>
  <c r="B114" i="14"/>
  <c r="C113" i="14"/>
  <c r="B113" i="14"/>
  <c r="C112" i="14"/>
  <c r="B112" i="14"/>
  <c r="C111" i="14"/>
  <c r="B111" i="14"/>
  <c r="C110" i="14"/>
  <c r="B110" i="14"/>
  <c r="C109" i="14"/>
  <c r="B109" i="14"/>
  <c r="C108" i="14"/>
  <c r="B108" i="14"/>
  <c r="C107" i="14"/>
  <c r="B107" i="14"/>
  <c r="C106" i="14"/>
  <c r="B106" i="14"/>
  <c r="C105" i="14"/>
  <c r="B105" i="14"/>
  <c r="C104" i="14"/>
  <c r="B104" i="14"/>
  <c r="C103" i="14"/>
  <c r="B103" i="14"/>
  <c r="C102" i="14"/>
  <c r="B102" i="14"/>
  <c r="C101" i="14"/>
  <c r="B101" i="14"/>
  <c r="C100" i="14"/>
  <c r="B100" i="14"/>
  <c r="C99" i="14"/>
  <c r="B99" i="14"/>
  <c r="C98" i="14"/>
  <c r="B98" i="14"/>
  <c r="C97" i="14"/>
  <c r="B97" i="14"/>
  <c r="C96" i="14"/>
  <c r="B96" i="14"/>
  <c r="C95" i="14"/>
  <c r="B95" i="14"/>
  <c r="C94" i="14"/>
  <c r="B94" i="14"/>
  <c r="C93" i="14"/>
  <c r="B93" i="14"/>
  <c r="C92" i="14"/>
  <c r="B92" i="14"/>
  <c r="C91" i="14"/>
  <c r="B91" i="14"/>
  <c r="C90" i="14"/>
  <c r="B90" i="14"/>
  <c r="C89" i="14"/>
  <c r="B89" i="14"/>
  <c r="C88" i="14"/>
  <c r="B88" i="14"/>
  <c r="C87" i="14"/>
  <c r="B87" i="14"/>
  <c r="C86" i="14"/>
  <c r="B86" i="14"/>
  <c r="C85" i="14"/>
  <c r="B85" i="14"/>
  <c r="C84" i="14"/>
  <c r="B84" i="14"/>
  <c r="C83" i="14"/>
  <c r="B83" i="14"/>
  <c r="C82" i="14"/>
  <c r="B82" i="14"/>
  <c r="C81" i="14"/>
  <c r="B81" i="14"/>
  <c r="C80" i="14"/>
  <c r="B80" i="14"/>
  <c r="C79" i="14"/>
  <c r="B79" i="14"/>
  <c r="C78" i="14"/>
  <c r="B78" i="14"/>
  <c r="C77" i="14"/>
  <c r="B77" i="14"/>
  <c r="C76" i="14"/>
  <c r="B76" i="14"/>
  <c r="C75" i="14"/>
  <c r="B75" i="14"/>
  <c r="C74" i="14"/>
  <c r="B74" i="14"/>
  <c r="C73" i="14"/>
  <c r="B73" i="14"/>
  <c r="C72" i="14"/>
  <c r="B72" i="14"/>
  <c r="C71" i="14"/>
  <c r="B71" i="14"/>
  <c r="C70" i="14"/>
  <c r="B70" i="14"/>
  <c r="C69" i="14"/>
  <c r="B69" i="14"/>
  <c r="C68" i="14"/>
  <c r="B68" i="14"/>
  <c r="C67" i="14"/>
  <c r="B67" i="14"/>
  <c r="C66" i="14"/>
  <c r="B66" i="14"/>
  <c r="C65" i="14"/>
  <c r="B65" i="14"/>
  <c r="C64" i="14"/>
  <c r="B64" i="14"/>
  <c r="C63" i="14"/>
  <c r="B63" i="14"/>
  <c r="C62" i="14"/>
  <c r="B62" i="14"/>
  <c r="C61" i="14"/>
  <c r="B61" i="14"/>
  <c r="C60" i="14"/>
  <c r="B60" i="14"/>
  <c r="C59" i="14"/>
  <c r="B59" i="14"/>
  <c r="C58" i="14"/>
  <c r="B58" i="14"/>
  <c r="C57" i="14"/>
  <c r="B57" i="14"/>
  <c r="C56" i="14"/>
  <c r="B56" i="14"/>
  <c r="C55" i="14"/>
  <c r="B55" i="14"/>
  <c r="C54" i="14"/>
  <c r="B54" i="14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C45" i="14"/>
  <c r="B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B318" i="13"/>
  <c r="C318" i="13"/>
  <c r="B319" i="13"/>
  <c r="C319" i="13"/>
  <c r="B320" i="13"/>
  <c r="C320" i="13"/>
  <c r="B321" i="13"/>
  <c r="C321" i="13"/>
  <c r="B322" i="13"/>
  <c r="C322" i="13"/>
  <c r="B323" i="13"/>
  <c r="C323" i="13"/>
  <c r="B324" i="13"/>
  <c r="C324" i="13"/>
  <c r="B325" i="13"/>
  <c r="C325" i="13"/>
  <c r="B326" i="13"/>
  <c r="C326" i="13"/>
  <c r="B327" i="13"/>
  <c r="C327" i="13"/>
  <c r="B328" i="13"/>
  <c r="C328" i="13"/>
  <c r="B329" i="13"/>
  <c r="C329" i="13"/>
  <c r="B330" i="13"/>
  <c r="C330" i="13"/>
  <c r="B331" i="13"/>
  <c r="C331" i="13"/>
  <c r="B332" i="13"/>
  <c r="C332" i="13"/>
  <c r="B333" i="13"/>
  <c r="C333" i="13"/>
  <c r="B334" i="13"/>
  <c r="C334" i="13"/>
  <c r="B335" i="13"/>
  <c r="C335" i="13"/>
  <c r="B336" i="13"/>
  <c r="C336" i="13"/>
  <c r="B337" i="13"/>
  <c r="C337" i="13"/>
  <c r="C317" i="13"/>
  <c r="B317" i="13"/>
  <c r="B297" i="13"/>
  <c r="C297" i="13"/>
  <c r="B298" i="13"/>
  <c r="C298" i="13"/>
  <c r="B299" i="13"/>
  <c r="C299" i="13"/>
  <c r="B300" i="13"/>
  <c r="C300" i="13"/>
  <c r="B301" i="13"/>
  <c r="C301" i="13"/>
  <c r="B302" i="13"/>
  <c r="C302" i="13"/>
  <c r="B303" i="13"/>
  <c r="C303" i="13"/>
  <c r="B304" i="13"/>
  <c r="C304" i="13"/>
  <c r="B305" i="13"/>
  <c r="C305" i="13"/>
  <c r="B306" i="13"/>
  <c r="C306" i="13"/>
  <c r="B307" i="13"/>
  <c r="C307" i="13"/>
  <c r="B308" i="13"/>
  <c r="C308" i="13"/>
  <c r="B309" i="13"/>
  <c r="C309" i="13"/>
  <c r="B310" i="13"/>
  <c r="C310" i="13"/>
  <c r="B311" i="13"/>
  <c r="C311" i="13"/>
  <c r="B312" i="13"/>
  <c r="C312" i="13"/>
  <c r="B313" i="13"/>
  <c r="C313" i="13"/>
  <c r="B314" i="13"/>
  <c r="C314" i="13"/>
  <c r="B315" i="13"/>
  <c r="C315" i="13"/>
  <c r="B316" i="13"/>
  <c r="C316" i="13"/>
  <c r="C296" i="13"/>
  <c r="B296" i="13"/>
  <c r="B276" i="13"/>
  <c r="C276" i="13"/>
  <c r="B277" i="13"/>
  <c r="C277" i="13"/>
  <c r="B278" i="13"/>
  <c r="C278" i="13"/>
  <c r="B279" i="13"/>
  <c r="C279" i="13"/>
  <c r="B280" i="13"/>
  <c r="C280" i="13"/>
  <c r="B281" i="13"/>
  <c r="C281" i="13"/>
  <c r="B282" i="13"/>
  <c r="C282" i="13"/>
  <c r="B283" i="13"/>
  <c r="C283" i="13"/>
  <c r="B284" i="13"/>
  <c r="C284" i="13"/>
  <c r="B285" i="13"/>
  <c r="C285" i="13"/>
  <c r="B286" i="13"/>
  <c r="C286" i="13"/>
  <c r="B287" i="13"/>
  <c r="C287" i="13"/>
  <c r="B288" i="13"/>
  <c r="C288" i="13"/>
  <c r="B289" i="13"/>
  <c r="C289" i="13"/>
  <c r="B290" i="13"/>
  <c r="C290" i="13"/>
  <c r="B291" i="13"/>
  <c r="C291" i="13"/>
  <c r="B292" i="13"/>
  <c r="C292" i="13"/>
  <c r="B293" i="13"/>
  <c r="C293" i="13"/>
  <c r="B294" i="13"/>
  <c r="C294" i="13"/>
  <c r="B295" i="13"/>
  <c r="C295" i="13"/>
  <c r="C275" i="13"/>
  <c r="B275" i="13"/>
  <c r="B255" i="13"/>
  <c r="C255" i="13"/>
  <c r="B256" i="13"/>
  <c r="C256" i="13"/>
  <c r="B257" i="13"/>
  <c r="C257" i="13"/>
  <c r="B258" i="13"/>
  <c r="C258" i="13"/>
  <c r="B259" i="13"/>
  <c r="C259" i="13"/>
  <c r="B260" i="13"/>
  <c r="C260" i="13"/>
  <c r="B261" i="13"/>
  <c r="C261" i="13"/>
  <c r="B262" i="13"/>
  <c r="C262" i="13"/>
  <c r="B263" i="13"/>
  <c r="C263" i="13"/>
  <c r="B264" i="13"/>
  <c r="C264" i="13"/>
  <c r="B265" i="13"/>
  <c r="C265" i="13"/>
  <c r="B266" i="13"/>
  <c r="C266" i="13"/>
  <c r="B267" i="13"/>
  <c r="C267" i="13"/>
  <c r="B268" i="13"/>
  <c r="C268" i="13"/>
  <c r="B269" i="13"/>
  <c r="C269" i="13"/>
  <c r="B270" i="13"/>
  <c r="C270" i="13"/>
  <c r="B271" i="13"/>
  <c r="C271" i="13"/>
  <c r="B272" i="13"/>
  <c r="C272" i="13"/>
  <c r="B273" i="13"/>
  <c r="C273" i="13"/>
  <c r="B274" i="13"/>
  <c r="C274" i="13"/>
  <c r="C254" i="13"/>
  <c r="B254" i="13"/>
  <c r="B234" i="13"/>
  <c r="C234" i="13"/>
  <c r="B235" i="13"/>
  <c r="C235" i="13"/>
  <c r="B236" i="13"/>
  <c r="C236" i="13"/>
  <c r="B237" i="13"/>
  <c r="C237" i="13"/>
  <c r="B238" i="13"/>
  <c r="C238" i="13"/>
  <c r="B239" i="13"/>
  <c r="C239" i="13"/>
  <c r="B240" i="13"/>
  <c r="C240" i="13"/>
  <c r="B241" i="13"/>
  <c r="C241" i="13"/>
  <c r="B242" i="13"/>
  <c r="C242" i="13"/>
  <c r="B243" i="13"/>
  <c r="C243" i="13"/>
  <c r="B244" i="13"/>
  <c r="C244" i="13"/>
  <c r="B245" i="13"/>
  <c r="C245" i="13"/>
  <c r="B246" i="13"/>
  <c r="C246" i="13"/>
  <c r="B247" i="13"/>
  <c r="C247" i="13"/>
  <c r="B248" i="13"/>
  <c r="C248" i="13"/>
  <c r="B249" i="13"/>
  <c r="C249" i="13"/>
  <c r="B250" i="13"/>
  <c r="C250" i="13"/>
  <c r="B251" i="13"/>
  <c r="C251" i="13"/>
  <c r="B252" i="13"/>
  <c r="C252" i="13"/>
  <c r="B253" i="13"/>
  <c r="C253" i="13"/>
  <c r="C233" i="13"/>
  <c r="B233" i="13"/>
  <c r="B213" i="13"/>
  <c r="C213" i="13"/>
  <c r="B214" i="13"/>
  <c r="C214" i="13"/>
  <c r="B215" i="13"/>
  <c r="C215" i="13"/>
  <c r="B216" i="13"/>
  <c r="C216" i="13"/>
  <c r="B217" i="13"/>
  <c r="C217" i="13"/>
  <c r="B218" i="13"/>
  <c r="C218" i="13"/>
  <c r="B219" i="13"/>
  <c r="C219" i="13"/>
  <c r="B220" i="13"/>
  <c r="C220" i="13"/>
  <c r="B221" i="13"/>
  <c r="C221" i="13"/>
  <c r="B222" i="13"/>
  <c r="C222" i="13"/>
  <c r="B223" i="13"/>
  <c r="C223" i="13"/>
  <c r="B224" i="13"/>
  <c r="C224" i="13"/>
  <c r="B225" i="13"/>
  <c r="C225" i="13"/>
  <c r="B226" i="13"/>
  <c r="C226" i="13"/>
  <c r="B227" i="13"/>
  <c r="C227" i="13"/>
  <c r="B228" i="13"/>
  <c r="C228" i="13"/>
  <c r="B229" i="13"/>
  <c r="C229" i="13"/>
  <c r="B230" i="13"/>
  <c r="C230" i="13"/>
  <c r="B231" i="13"/>
  <c r="C231" i="13"/>
  <c r="B232" i="13"/>
  <c r="C232" i="13"/>
  <c r="C212" i="13"/>
  <c r="B212" i="13"/>
  <c r="B192" i="13"/>
  <c r="C192" i="13"/>
  <c r="B193" i="13"/>
  <c r="C193" i="13"/>
  <c r="B194" i="13"/>
  <c r="C194" i="13"/>
  <c r="B195" i="13"/>
  <c r="C195" i="13"/>
  <c r="B196" i="13"/>
  <c r="C196" i="13"/>
  <c r="B197" i="13"/>
  <c r="C197" i="13"/>
  <c r="B198" i="13"/>
  <c r="C198" i="13"/>
  <c r="B199" i="13"/>
  <c r="C199" i="13"/>
  <c r="B200" i="13"/>
  <c r="C200" i="13"/>
  <c r="B201" i="13"/>
  <c r="C201" i="13"/>
  <c r="B202" i="13"/>
  <c r="C202" i="13"/>
  <c r="B203" i="13"/>
  <c r="C203" i="13"/>
  <c r="B204" i="13"/>
  <c r="C204" i="13"/>
  <c r="B205" i="13"/>
  <c r="C205" i="13"/>
  <c r="B206" i="13"/>
  <c r="C206" i="13"/>
  <c r="B207" i="13"/>
  <c r="C207" i="13"/>
  <c r="B208" i="13"/>
  <c r="C208" i="13"/>
  <c r="B209" i="13"/>
  <c r="C209" i="13"/>
  <c r="B210" i="13"/>
  <c r="C210" i="13"/>
  <c r="B211" i="13"/>
  <c r="C211" i="13"/>
  <c r="C191" i="13"/>
  <c r="B191" i="13"/>
  <c r="B171" i="13"/>
  <c r="C171" i="13"/>
  <c r="B172" i="13"/>
  <c r="C172" i="13"/>
  <c r="B173" i="13"/>
  <c r="C173" i="13"/>
  <c r="B174" i="13"/>
  <c r="C174" i="13"/>
  <c r="B175" i="13"/>
  <c r="C175" i="13"/>
  <c r="B176" i="13"/>
  <c r="C176" i="13"/>
  <c r="B177" i="13"/>
  <c r="C177" i="13"/>
  <c r="B178" i="13"/>
  <c r="C178" i="13"/>
  <c r="B179" i="13"/>
  <c r="C179" i="13"/>
  <c r="B180" i="13"/>
  <c r="C180" i="13"/>
  <c r="B181" i="13"/>
  <c r="C181" i="13"/>
  <c r="B182" i="13"/>
  <c r="C182" i="13"/>
  <c r="B183" i="13"/>
  <c r="C183" i="13"/>
  <c r="B184" i="13"/>
  <c r="C184" i="13"/>
  <c r="B185" i="13"/>
  <c r="C185" i="13"/>
  <c r="B186" i="13"/>
  <c r="C186" i="13"/>
  <c r="B187" i="13"/>
  <c r="C187" i="13"/>
  <c r="B188" i="13"/>
  <c r="C188" i="13"/>
  <c r="B189" i="13"/>
  <c r="C189" i="13"/>
  <c r="B190" i="13"/>
  <c r="C190" i="13"/>
  <c r="C170" i="13"/>
  <c r="B170" i="13"/>
  <c r="B150" i="13"/>
  <c r="C150" i="13"/>
  <c r="B151" i="13"/>
  <c r="C151" i="13"/>
  <c r="B152" i="13"/>
  <c r="C152" i="13"/>
  <c r="B153" i="13"/>
  <c r="C153" i="13"/>
  <c r="B154" i="13"/>
  <c r="C154" i="13"/>
  <c r="B155" i="13"/>
  <c r="C155" i="13"/>
  <c r="B156" i="13"/>
  <c r="C156" i="13"/>
  <c r="B157" i="13"/>
  <c r="C157" i="13"/>
  <c r="B158" i="13"/>
  <c r="C158" i="13"/>
  <c r="B159" i="13"/>
  <c r="C159" i="13"/>
  <c r="B160" i="13"/>
  <c r="C160" i="13"/>
  <c r="B161" i="13"/>
  <c r="C161" i="13"/>
  <c r="B162" i="13"/>
  <c r="C162" i="13"/>
  <c r="B163" i="13"/>
  <c r="C163" i="13"/>
  <c r="B164" i="13"/>
  <c r="C164" i="13"/>
  <c r="B165" i="13"/>
  <c r="C165" i="13"/>
  <c r="B166" i="13"/>
  <c r="C166" i="13"/>
  <c r="B167" i="13"/>
  <c r="C167" i="13"/>
  <c r="B168" i="13"/>
  <c r="C168" i="13"/>
  <c r="B169" i="13"/>
  <c r="C169" i="13"/>
  <c r="C149" i="13"/>
  <c r="B149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28" i="13"/>
  <c r="C127" i="13"/>
  <c r="B127" i="13"/>
  <c r="C126" i="13"/>
  <c r="B126" i="13"/>
  <c r="C125" i="13"/>
  <c r="B125" i="13"/>
  <c r="C124" i="13"/>
  <c r="B124" i="13"/>
  <c r="C123" i="13"/>
  <c r="B123" i="13"/>
  <c r="C122" i="13"/>
  <c r="B122" i="13"/>
  <c r="C121" i="13"/>
  <c r="B121" i="13"/>
  <c r="C120" i="13"/>
  <c r="B120" i="13"/>
  <c r="C119" i="13"/>
  <c r="B119" i="13"/>
  <c r="C118" i="13"/>
  <c r="B118" i="13"/>
  <c r="C117" i="13"/>
  <c r="B117" i="13"/>
  <c r="C116" i="13"/>
  <c r="B116" i="13"/>
  <c r="C115" i="13"/>
  <c r="B115" i="13"/>
  <c r="C114" i="13"/>
  <c r="B114" i="13"/>
  <c r="C113" i="13"/>
  <c r="B113" i="13"/>
  <c r="C112" i="13"/>
  <c r="B112" i="13"/>
  <c r="C111" i="13"/>
  <c r="B111" i="13"/>
  <c r="C110" i="13"/>
  <c r="B110" i="13"/>
  <c r="C109" i="13"/>
  <c r="B109" i="13"/>
  <c r="C108" i="13"/>
  <c r="B108" i="13"/>
  <c r="C107" i="13"/>
  <c r="B107" i="13"/>
  <c r="C106" i="13"/>
  <c r="B106" i="13"/>
  <c r="C105" i="13"/>
  <c r="B105" i="13"/>
  <c r="C104" i="13"/>
  <c r="B104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C96" i="13"/>
  <c r="B96" i="13"/>
  <c r="C95" i="13"/>
  <c r="B95" i="13"/>
  <c r="C94" i="13"/>
  <c r="B94" i="13"/>
  <c r="C93" i="13"/>
  <c r="B93" i="13"/>
  <c r="C92" i="13"/>
  <c r="B92" i="13"/>
  <c r="C91" i="13"/>
  <c r="B91" i="13"/>
  <c r="C90" i="13"/>
  <c r="B90" i="13"/>
  <c r="C89" i="13"/>
  <c r="B89" i="13"/>
  <c r="C88" i="13"/>
  <c r="B88" i="13"/>
  <c r="C87" i="13"/>
  <c r="B87" i="13"/>
  <c r="C86" i="13"/>
  <c r="B86" i="13"/>
  <c r="C85" i="13"/>
  <c r="B85" i="13"/>
  <c r="C84" i="13"/>
  <c r="B84" i="13"/>
  <c r="C83" i="13"/>
  <c r="B83" i="13"/>
  <c r="C82" i="13"/>
  <c r="B82" i="13"/>
  <c r="C81" i="13"/>
  <c r="B81" i="13"/>
  <c r="C80" i="13"/>
  <c r="B80" i="13"/>
  <c r="C79" i="13"/>
  <c r="B79" i="13"/>
  <c r="C78" i="13"/>
  <c r="B78" i="13"/>
  <c r="C77" i="13"/>
  <c r="B77" i="13"/>
  <c r="C76" i="13"/>
  <c r="B76" i="13"/>
  <c r="C75" i="13"/>
  <c r="B75" i="13"/>
  <c r="C74" i="13"/>
  <c r="B74" i="13"/>
  <c r="C73" i="13"/>
  <c r="B73" i="13"/>
  <c r="C72" i="13"/>
  <c r="B72" i="13"/>
  <c r="C71" i="13"/>
  <c r="B71" i="13"/>
  <c r="C70" i="13"/>
  <c r="B70" i="13"/>
  <c r="C69" i="13"/>
  <c r="B69" i="13"/>
  <c r="C68" i="13"/>
  <c r="B68" i="13"/>
  <c r="C67" i="13"/>
  <c r="B67" i="13"/>
  <c r="C66" i="13"/>
  <c r="B66" i="13"/>
  <c r="C65" i="13"/>
  <c r="B65" i="13"/>
  <c r="C64" i="13"/>
  <c r="B64" i="13"/>
  <c r="C63" i="13"/>
  <c r="B63" i="13"/>
  <c r="C62" i="13"/>
  <c r="B62" i="13"/>
  <c r="C61" i="13"/>
  <c r="B61" i="13"/>
  <c r="C60" i="13"/>
  <c r="B60" i="13"/>
  <c r="C59" i="13"/>
  <c r="B59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337" i="10"/>
  <c r="B337" i="10"/>
  <c r="C336" i="10"/>
  <c r="B336" i="10"/>
  <c r="C335" i="10"/>
  <c r="B335" i="10"/>
  <c r="C334" i="10"/>
  <c r="B334" i="10"/>
  <c r="C333" i="10"/>
  <c r="B333" i="10"/>
  <c r="C332" i="10"/>
  <c r="B332" i="10"/>
  <c r="C331" i="10"/>
  <c r="B331" i="10"/>
  <c r="C330" i="10"/>
  <c r="B330" i="10"/>
  <c r="C329" i="10"/>
  <c r="B329" i="10"/>
  <c r="C328" i="10"/>
  <c r="B328" i="10"/>
  <c r="C327" i="10"/>
  <c r="B327" i="10"/>
  <c r="C326" i="10"/>
  <c r="B326" i="10"/>
  <c r="C325" i="10"/>
  <c r="B325" i="10"/>
  <c r="C324" i="10"/>
  <c r="B324" i="10"/>
  <c r="C323" i="10"/>
  <c r="B323" i="10"/>
  <c r="C322" i="10"/>
  <c r="B322" i="10"/>
  <c r="C321" i="10"/>
  <c r="B321" i="10"/>
  <c r="C320" i="10"/>
  <c r="B320" i="10"/>
  <c r="C319" i="10"/>
  <c r="B319" i="10"/>
  <c r="C318" i="10"/>
  <c r="B318" i="10"/>
  <c r="C317" i="10"/>
  <c r="B317" i="10"/>
  <c r="C316" i="10"/>
  <c r="B316" i="10"/>
  <c r="C315" i="10"/>
  <c r="B315" i="10"/>
  <c r="C314" i="10"/>
  <c r="B314" i="10"/>
  <c r="C313" i="10"/>
  <c r="B313" i="10"/>
  <c r="C312" i="10"/>
  <c r="B312" i="10"/>
  <c r="C311" i="10"/>
  <c r="B311" i="10"/>
  <c r="C310" i="10"/>
  <c r="B310" i="10"/>
  <c r="C309" i="10"/>
  <c r="B309" i="10"/>
  <c r="C308" i="10"/>
  <c r="B308" i="10"/>
  <c r="C307" i="10"/>
  <c r="B307" i="10"/>
  <c r="C306" i="10"/>
  <c r="B306" i="10"/>
  <c r="C305" i="10"/>
  <c r="B305" i="10"/>
  <c r="C304" i="10"/>
  <c r="B304" i="10"/>
  <c r="C303" i="10"/>
  <c r="B303" i="10"/>
  <c r="C302" i="10"/>
  <c r="B302" i="10"/>
  <c r="C301" i="10"/>
  <c r="B301" i="10"/>
  <c r="C300" i="10"/>
  <c r="B300" i="10"/>
  <c r="C299" i="10"/>
  <c r="B299" i="10"/>
  <c r="C298" i="10"/>
  <c r="B298" i="10"/>
  <c r="C297" i="10"/>
  <c r="B297" i="10"/>
  <c r="C296" i="10"/>
  <c r="B296" i="10"/>
  <c r="C295" i="10"/>
  <c r="B295" i="10"/>
  <c r="C294" i="10"/>
  <c r="B294" i="10"/>
  <c r="C293" i="10"/>
  <c r="B293" i="10"/>
  <c r="C292" i="10"/>
  <c r="B292" i="10"/>
  <c r="C291" i="10"/>
  <c r="B291" i="10"/>
  <c r="C290" i="10"/>
  <c r="B290" i="10"/>
  <c r="C289" i="10"/>
  <c r="B289" i="10"/>
  <c r="C288" i="10"/>
  <c r="B288" i="10"/>
  <c r="C287" i="10"/>
  <c r="B287" i="10"/>
  <c r="C286" i="10"/>
  <c r="B286" i="10"/>
  <c r="C285" i="10"/>
  <c r="B285" i="10"/>
  <c r="C284" i="10"/>
  <c r="B284" i="10"/>
  <c r="C283" i="10"/>
  <c r="B283" i="10"/>
  <c r="C282" i="10"/>
  <c r="B282" i="10"/>
  <c r="C281" i="10"/>
  <c r="B281" i="10"/>
  <c r="C280" i="10"/>
  <c r="B280" i="10"/>
  <c r="C279" i="10"/>
  <c r="B279" i="10"/>
  <c r="C278" i="10"/>
  <c r="B278" i="10"/>
  <c r="C277" i="10"/>
  <c r="B277" i="10"/>
  <c r="C276" i="10"/>
  <c r="B276" i="10"/>
  <c r="C275" i="10"/>
  <c r="B275" i="10"/>
  <c r="C274" i="10"/>
  <c r="B274" i="10"/>
  <c r="C273" i="10"/>
  <c r="B273" i="10"/>
  <c r="C272" i="10"/>
  <c r="B272" i="10"/>
  <c r="C271" i="10"/>
  <c r="B271" i="10"/>
  <c r="C270" i="10"/>
  <c r="B270" i="10"/>
  <c r="C269" i="10"/>
  <c r="B269" i="10"/>
  <c r="C268" i="10"/>
  <c r="B268" i="10"/>
  <c r="C267" i="10"/>
  <c r="B267" i="10"/>
  <c r="C266" i="10"/>
  <c r="B266" i="10"/>
  <c r="C265" i="10"/>
  <c r="B265" i="10"/>
  <c r="C264" i="10"/>
  <c r="B264" i="10"/>
  <c r="C263" i="10"/>
  <c r="B263" i="10"/>
  <c r="C262" i="10"/>
  <c r="B262" i="10"/>
  <c r="C261" i="10"/>
  <c r="B261" i="10"/>
  <c r="C260" i="10"/>
  <c r="B260" i="10"/>
  <c r="C259" i="10"/>
  <c r="B259" i="10"/>
  <c r="C258" i="10"/>
  <c r="B258" i="10"/>
  <c r="C257" i="10"/>
  <c r="B257" i="10"/>
  <c r="C256" i="10"/>
  <c r="B256" i="10"/>
  <c r="C255" i="10"/>
  <c r="B255" i="10"/>
  <c r="C254" i="10"/>
  <c r="B254" i="10"/>
  <c r="C253" i="10"/>
  <c r="B253" i="10"/>
  <c r="C252" i="10"/>
  <c r="B252" i="10"/>
  <c r="C251" i="10"/>
  <c r="B251" i="10"/>
  <c r="C250" i="10"/>
  <c r="B250" i="10"/>
  <c r="C249" i="10"/>
  <c r="B249" i="10"/>
  <c r="C248" i="10"/>
  <c r="B248" i="10"/>
  <c r="C247" i="10"/>
  <c r="B247" i="10"/>
  <c r="C246" i="10"/>
  <c r="B246" i="10"/>
  <c r="C245" i="10"/>
  <c r="B245" i="10"/>
  <c r="C244" i="10"/>
  <c r="B244" i="10"/>
  <c r="C243" i="10"/>
  <c r="B243" i="10"/>
  <c r="C242" i="10"/>
  <c r="B242" i="10"/>
  <c r="C241" i="10"/>
  <c r="B241" i="10"/>
  <c r="C240" i="10"/>
  <c r="B240" i="10"/>
  <c r="C239" i="10"/>
  <c r="B239" i="10"/>
  <c r="C238" i="10"/>
  <c r="B238" i="10"/>
  <c r="C237" i="10"/>
  <c r="B237" i="10"/>
  <c r="C236" i="10"/>
  <c r="B236" i="10"/>
  <c r="C235" i="10"/>
  <c r="B235" i="10"/>
  <c r="C234" i="10"/>
  <c r="B234" i="10"/>
  <c r="C233" i="10"/>
  <c r="B233" i="10"/>
  <c r="C232" i="10"/>
  <c r="B232" i="10"/>
  <c r="C231" i="10"/>
  <c r="B231" i="10"/>
  <c r="C230" i="10"/>
  <c r="B230" i="10"/>
  <c r="C229" i="10"/>
  <c r="B229" i="10"/>
  <c r="C228" i="10"/>
  <c r="B228" i="10"/>
  <c r="C227" i="10"/>
  <c r="B227" i="10"/>
  <c r="C226" i="10"/>
  <c r="B226" i="10"/>
  <c r="C225" i="10"/>
  <c r="B225" i="10"/>
  <c r="C224" i="10"/>
  <c r="B224" i="10"/>
  <c r="C223" i="10"/>
  <c r="B223" i="10"/>
  <c r="C222" i="10"/>
  <c r="B222" i="10"/>
  <c r="C221" i="10"/>
  <c r="B221" i="10"/>
  <c r="C220" i="10"/>
  <c r="B220" i="10"/>
  <c r="C219" i="10"/>
  <c r="B219" i="10"/>
  <c r="C218" i="10"/>
  <c r="B218" i="10"/>
  <c r="C217" i="10"/>
  <c r="B217" i="10"/>
  <c r="C216" i="10"/>
  <c r="B216" i="10"/>
  <c r="C215" i="10"/>
  <c r="B215" i="10"/>
  <c r="C214" i="10"/>
  <c r="B214" i="10"/>
  <c r="C213" i="10"/>
  <c r="B213" i="10"/>
  <c r="C212" i="10"/>
  <c r="B212" i="10"/>
  <c r="C211" i="10"/>
  <c r="B211" i="10"/>
  <c r="C210" i="10"/>
  <c r="B210" i="10"/>
  <c r="C209" i="10"/>
  <c r="B209" i="10"/>
  <c r="C208" i="10"/>
  <c r="B208" i="10"/>
  <c r="C207" i="10"/>
  <c r="B207" i="10"/>
  <c r="C206" i="10"/>
  <c r="B206" i="10"/>
  <c r="C205" i="10"/>
  <c r="B205" i="10"/>
  <c r="C204" i="10"/>
  <c r="B204" i="10"/>
  <c r="C203" i="10"/>
  <c r="B203" i="10"/>
  <c r="C202" i="10"/>
  <c r="B202" i="10"/>
  <c r="C201" i="10"/>
  <c r="B201" i="10"/>
  <c r="C200" i="10"/>
  <c r="B200" i="10"/>
  <c r="C199" i="10"/>
  <c r="B199" i="10"/>
  <c r="C198" i="10"/>
  <c r="B198" i="10"/>
  <c r="C197" i="10"/>
  <c r="B197" i="10"/>
  <c r="C196" i="10"/>
  <c r="B196" i="10"/>
  <c r="C195" i="10"/>
  <c r="B195" i="10"/>
  <c r="C194" i="10"/>
  <c r="B194" i="10"/>
  <c r="C193" i="10"/>
  <c r="B193" i="10"/>
  <c r="C192" i="10"/>
  <c r="B192" i="10"/>
  <c r="C191" i="10"/>
  <c r="B191" i="10"/>
  <c r="C190" i="10"/>
  <c r="B190" i="10"/>
  <c r="C189" i="10"/>
  <c r="B189" i="10"/>
  <c r="C188" i="10"/>
  <c r="B188" i="10"/>
  <c r="C187" i="10"/>
  <c r="B187" i="10"/>
  <c r="C186" i="10"/>
  <c r="B186" i="10"/>
  <c r="C185" i="10"/>
  <c r="B185" i="10"/>
  <c r="C184" i="10"/>
  <c r="B184" i="10"/>
  <c r="C183" i="10"/>
  <c r="B183" i="10"/>
  <c r="C182" i="10"/>
  <c r="B182" i="10"/>
  <c r="C181" i="10"/>
  <c r="B181" i="10"/>
  <c r="C180" i="10"/>
  <c r="B180" i="10"/>
  <c r="C179" i="10"/>
  <c r="B179" i="10"/>
  <c r="C178" i="10"/>
  <c r="B178" i="10"/>
  <c r="C177" i="10"/>
  <c r="B177" i="10"/>
  <c r="C176" i="10"/>
  <c r="B176" i="10"/>
  <c r="C175" i="10"/>
  <c r="B175" i="10"/>
  <c r="C174" i="10"/>
  <c r="B174" i="10"/>
  <c r="C173" i="10"/>
  <c r="B173" i="10"/>
  <c r="C172" i="10"/>
  <c r="B172" i="10"/>
  <c r="C171" i="10"/>
  <c r="B171" i="10"/>
  <c r="C170" i="10"/>
  <c r="B170" i="10"/>
  <c r="C169" i="10"/>
  <c r="B169" i="10"/>
  <c r="C168" i="10"/>
  <c r="B168" i="10"/>
  <c r="C167" i="10"/>
  <c r="B167" i="10"/>
  <c r="C166" i="10"/>
  <c r="B166" i="10"/>
  <c r="C165" i="10"/>
  <c r="B165" i="10"/>
  <c r="C164" i="10"/>
  <c r="B164" i="10"/>
  <c r="C163" i="10"/>
  <c r="B163" i="10"/>
  <c r="C162" i="10"/>
  <c r="B162" i="10"/>
  <c r="C161" i="10"/>
  <c r="B161" i="10"/>
  <c r="C160" i="10"/>
  <c r="B160" i="10"/>
  <c r="C159" i="10"/>
  <c r="B159" i="10"/>
  <c r="C158" i="10"/>
  <c r="B158" i="10"/>
  <c r="C157" i="10"/>
  <c r="B157" i="10"/>
  <c r="C156" i="10"/>
  <c r="B156" i="10"/>
  <c r="C155" i="10"/>
  <c r="B155" i="10"/>
  <c r="C154" i="10"/>
  <c r="B154" i="10"/>
  <c r="C153" i="10"/>
  <c r="B153" i="10"/>
  <c r="C152" i="10"/>
  <c r="B152" i="10"/>
  <c r="C151" i="10"/>
  <c r="B151" i="10"/>
  <c r="C150" i="10"/>
  <c r="B150" i="10"/>
  <c r="C149" i="10"/>
  <c r="B149" i="10"/>
  <c r="C148" i="10"/>
  <c r="B148" i="10"/>
  <c r="C147" i="10"/>
  <c r="B147" i="10"/>
  <c r="C146" i="10"/>
  <c r="B146" i="10"/>
  <c r="C145" i="10"/>
  <c r="B145" i="10"/>
  <c r="C144" i="10"/>
  <c r="B144" i="10"/>
  <c r="C143" i="10"/>
  <c r="B143" i="10"/>
  <c r="C142" i="10"/>
  <c r="B142" i="10"/>
  <c r="C141" i="10"/>
  <c r="B141" i="10"/>
  <c r="C140" i="10"/>
  <c r="B140" i="10"/>
  <c r="C139" i="10"/>
  <c r="B139" i="10"/>
  <c r="C138" i="10"/>
  <c r="B138" i="10"/>
  <c r="C137" i="10"/>
  <c r="B137" i="10"/>
  <c r="C136" i="10"/>
  <c r="B136" i="10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C129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337" i="9"/>
  <c r="B337" i="9"/>
  <c r="C336" i="9"/>
  <c r="B336" i="9"/>
  <c r="C335" i="9"/>
  <c r="B335" i="9"/>
  <c r="C334" i="9"/>
  <c r="B334" i="9"/>
  <c r="C333" i="9"/>
  <c r="B333" i="9"/>
  <c r="C332" i="9"/>
  <c r="B332" i="9"/>
  <c r="C331" i="9"/>
  <c r="B331" i="9"/>
  <c r="C330" i="9"/>
  <c r="B330" i="9"/>
  <c r="C329" i="9"/>
  <c r="B329" i="9"/>
  <c r="C328" i="9"/>
  <c r="B328" i="9"/>
  <c r="C327" i="9"/>
  <c r="B327" i="9"/>
  <c r="C326" i="9"/>
  <c r="B326" i="9"/>
  <c r="C325" i="9"/>
  <c r="B325" i="9"/>
  <c r="C324" i="9"/>
  <c r="B324" i="9"/>
  <c r="C323" i="9"/>
  <c r="B323" i="9"/>
  <c r="C322" i="9"/>
  <c r="B322" i="9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9" i="9"/>
  <c r="B249" i="9"/>
  <c r="C248" i="9"/>
  <c r="B248" i="9"/>
  <c r="C247" i="9"/>
  <c r="B247" i="9"/>
  <c r="C246" i="9"/>
  <c r="B246" i="9"/>
  <c r="C245" i="9"/>
  <c r="B245" i="9"/>
  <c r="C244" i="9"/>
  <c r="B244" i="9"/>
  <c r="C243" i="9"/>
  <c r="B243" i="9"/>
  <c r="C242" i="9"/>
  <c r="B242" i="9"/>
  <c r="C241" i="9"/>
  <c r="B241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90" i="9"/>
  <c r="B190" i="9"/>
  <c r="C189" i="9"/>
  <c r="B189" i="9"/>
  <c r="C188" i="9"/>
  <c r="B188" i="9"/>
  <c r="C187" i="9"/>
  <c r="B187" i="9"/>
  <c r="C186" i="9"/>
  <c r="B186" i="9"/>
  <c r="C185" i="9"/>
  <c r="B185" i="9"/>
  <c r="C184" i="9"/>
  <c r="B184" i="9"/>
  <c r="C183" i="9"/>
  <c r="B183" i="9"/>
  <c r="C182" i="9"/>
  <c r="B182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337" i="8"/>
  <c r="B337" i="8"/>
  <c r="C336" i="8"/>
  <c r="B336" i="8"/>
  <c r="C335" i="8"/>
  <c r="B335" i="8"/>
  <c r="C334" i="8"/>
  <c r="B334" i="8"/>
  <c r="C333" i="8"/>
  <c r="B333" i="8"/>
  <c r="C332" i="8"/>
  <c r="B332" i="8"/>
  <c r="C331" i="8"/>
  <c r="B331" i="8"/>
  <c r="C330" i="8"/>
  <c r="B330" i="8"/>
  <c r="C329" i="8"/>
  <c r="B329" i="8"/>
  <c r="C328" i="8"/>
  <c r="B328" i="8"/>
  <c r="C327" i="8"/>
  <c r="B327" i="8"/>
  <c r="C326" i="8"/>
  <c r="B326" i="8"/>
  <c r="C325" i="8"/>
  <c r="B325" i="8"/>
  <c r="C324" i="8"/>
  <c r="B324" i="8"/>
  <c r="C323" i="8"/>
  <c r="B323" i="8"/>
  <c r="C322" i="8"/>
  <c r="B322" i="8"/>
  <c r="C321" i="8"/>
  <c r="B321" i="8"/>
  <c r="C320" i="8"/>
  <c r="B320" i="8"/>
  <c r="C319" i="8"/>
  <c r="B319" i="8"/>
  <c r="C318" i="8"/>
  <c r="B318" i="8"/>
  <c r="C317" i="8"/>
  <c r="B317" i="8"/>
  <c r="C316" i="8"/>
  <c r="B316" i="8"/>
  <c r="C315" i="8"/>
  <c r="B315" i="8"/>
  <c r="C314" i="8"/>
  <c r="B314" i="8"/>
  <c r="C313" i="8"/>
  <c r="B313" i="8"/>
  <c r="C312" i="8"/>
  <c r="B312" i="8"/>
  <c r="C311" i="8"/>
  <c r="B311" i="8"/>
  <c r="C310" i="8"/>
  <c r="B310" i="8"/>
  <c r="C309" i="8"/>
  <c r="B309" i="8"/>
  <c r="C308" i="8"/>
  <c r="B308" i="8"/>
  <c r="C307" i="8"/>
  <c r="B307" i="8"/>
  <c r="C306" i="8"/>
  <c r="B306" i="8"/>
  <c r="C305" i="8"/>
  <c r="B305" i="8"/>
  <c r="C304" i="8"/>
  <c r="B304" i="8"/>
  <c r="C303" i="8"/>
  <c r="B303" i="8"/>
  <c r="C302" i="8"/>
  <c r="B302" i="8"/>
  <c r="C301" i="8"/>
  <c r="B301" i="8"/>
  <c r="C300" i="8"/>
  <c r="B300" i="8"/>
  <c r="C299" i="8"/>
  <c r="B299" i="8"/>
  <c r="C298" i="8"/>
  <c r="B298" i="8"/>
  <c r="C297" i="8"/>
  <c r="B297" i="8"/>
  <c r="C296" i="8"/>
  <c r="B296" i="8"/>
  <c r="C295" i="8"/>
  <c r="B295" i="8"/>
  <c r="C294" i="8"/>
  <c r="B294" i="8"/>
  <c r="C293" i="8"/>
  <c r="B293" i="8"/>
  <c r="C292" i="8"/>
  <c r="B292" i="8"/>
  <c r="C291" i="8"/>
  <c r="B291" i="8"/>
  <c r="C290" i="8"/>
  <c r="B290" i="8"/>
  <c r="C289" i="8"/>
  <c r="B289" i="8"/>
  <c r="C288" i="8"/>
  <c r="B288" i="8"/>
  <c r="C287" i="8"/>
  <c r="B287" i="8"/>
  <c r="C286" i="8"/>
  <c r="B286" i="8"/>
  <c r="C285" i="8"/>
  <c r="B285" i="8"/>
  <c r="C284" i="8"/>
  <c r="B284" i="8"/>
  <c r="C283" i="8"/>
  <c r="B283" i="8"/>
  <c r="C282" i="8"/>
  <c r="B282" i="8"/>
  <c r="C281" i="8"/>
  <c r="B281" i="8"/>
  <c r="C280" i="8"/>
  <c r="B280" i="8"/>
  <c r="C279" i="8"/>
  <c r="B279" i="8"/>
  <c r="C278" i="8"/>
  <c r="B278" i="8"/>
  <c r="C277" i="8"/>
  <c r="B277" i="8"/>
  <c r="C276" i="8"/>
  <c r="B276" i="8"/>
  <c r="C275" i="8"/>
  <c r="B275" i="8"/>
  <c r="C274" i="8"/>
  <c r="B274" i="8"/>
  <c r="C273" i="8"/>
  <c r="B273" i="8"/>
  <c r="C272" i="8"/>
  <c r="B272" i="8"/>
  <c r="C271" i="8"/>
  <c r="B271" i="8"/>
  <c r="C270" i="8"/>
  <c r="B270" i="8"/>
  <c r="C269" i="8"/>
  <c r="B269" i="8"/>
  <c r="C268" i="8"/>
  <c r="B268" i="8"/>
  <c r="C267" i="8"/>
  <c r="B267" i="8"/>
  <c r="C266" i="8"/>
  <c r="B266" i="8"/>
  <c r="C265" i="8"/>
  <c r="B265" i="8"/>
  <c r="C264" i="8"/>
  <c r="B264" i="8"/>
  <c r="C263" i="8"/>
  <c r="B263" i="8"/>
  <c r="C262" i="8"/>
  <c r="B262" i="8"/>
  <c r="C261" i="8"/>
  <c r="B261" i="8"/>
  <c r="C260" i="8"/>
  <c r="B260" i="8"/>
  <c r="C259" i="8"/>
  <c r="B259" i="8"/>
  <c r="C258" i="8"/>
  <c r="B258" i="8"/>
  <c r="C257" i="8"/>
  <c r="B257" i="8"/>
  <c r="C256" i="8"/>
  <c r="B256" i="8"/>
  <c r="C255" i="8"/>
  <c r="B255" i="8"/>
  <c r="C254" i="8"/>
  <c r="B254" i="8"/>
  <c r="C253" i="8"/>
  <c r="B253" i="8"/>
  <c r="C252" i="8"/>
  <c r="B252" i="8"/>
  <c r="C251" i="8"/>
  <c r="B251" i="8"/>
  <c r="C250" i="8"/>
  <c r="B250" i="8"/>
  <c r="C249" i="8"/>
  <c r="B249" i="8"/>
  <c r="C248" i="8"/>
  <c r="B248" i="8"/>
  <c r="C247" i="8"/>
  <c r="B247" i="8"/>
  <c r="C246" i="8"/>
  <c r="B246" i="8"/>
  <c r="C245" i="8"/>
  <c r="B245" i="8"/>
  <c r="C244" i="8"/>
  <c r="B244" i="8"/>
  <c r="C243" i="8"/>
  <c r="B243" i="8"/>
  <c r="C242" i="8"/>
  <c r="B242" i="8"/>
  <c r="C241" i="8"/>
  <c r="B241" i="8"/>
  <c r="C240" i="8"/>
  <c r="B240" i="8"/>
  <c r="C239" i="8"/>
  <c r="B239" i="8"/>
  <c r="C238" i="8"/>
  <c r="B238" i="8"/>
  <c r="C237" i="8"/>
  <c r="B237" i="8"/>
  <c r="C236" i="8"/>
  <c r="B236" i="8"/>
  <c r="C235" i="8"/>
  <c r="B235" i="8"/>
  <c r="C234" i="8"/>
  <c r="B234" i="8"/>
  <c r="C233" i="8"/>
  <c r="B233" i="8"/>
  <c r="C232" i="8"/>
  <c r="B232" i="8"/>
  <c r="C231" i="8"/>
  <c r="B231" i="8"/>
  <c r="C230" i="8"/>
  <c r="B230" i="8"/>
  <c r="C229" i="8"/>
  <c r="B229" i="8"/>
  <c r="C228" i="8"/>
  <c r="B228" i="8"/>
  <c r="C227" i="8"/>
  <c r="B227" i="8"/>
  <c r="C226" i="8"/>
  <c r="B226" i="8"/>
  <c r="C225" i="8"/>
  <c r="B225" i="8"/>
  <c r="C224" i="8"/>
  <c r="B224" i="8"/>
  <c r="C223" i="8"/>
  <c r="B223" i="8"/>
  <c r="C222" i="8"/>
  <c r="B222" i="8"/>
  <c r="C221" i="8"/>
  <c r="B221" i="8"/>
  <c r="C220" i="8"/>
  <c r="B220" i="8"/>
  <c r="C219" i="8"/>
  <c r="B219" i="8"/>
  <c r="C218" i="8"/>
  <c r="B218" i="8"/>
  <c r="C217" i="8"/>
  <c r="B217" i="8"/>
  <c r="C216" i="8"/>
  <c r="B216" i="8"/>
  <c r="C215" i="8"/>
  <c r="B215" i="8"/>
  <c r="C214" i="8"/>
  <c r="B214" i="8"/>
  <c r="C213" i="8"/>
  <c r="B213" i="8"/>
  <c r="C212" i="8"/>
  <c r="B212" i="8"/>
  <c r="C211" i="8"/>
  <c r="B211" i="8"/>
  <c r="C210" i="8"/>
  <c r="B210" i="8"/>
  <c r="C209" i="8"/>
  <c r="B209" i="8"/>
  <c r="C208" i="8"/>
  <c r="B208" i="8"/>
  <c r="C207" i="8"/>
  <c r="B207" i="8"/>
  <c r="C206" i="8"/>
  <c r="B206" i="8"/>
  <c r="C205" i="8"/>
  <c r="B205" i="8"/>
  <c r="C204" i="8"/>
  <c r="B204" i="8"/>
  <c r="C203" i="8"/>
  <c r="B203" i="8"/>
  <c r="C202" i="8"/>
  <c r="B202" i="8"/>
  <c r="C201" i="8"/>
  <c r="B201" i="8"/>
  <c r="C200" i="8"/>
  <c r="B200" i="8"/>
  <c r="C199" i="8"/>
  <c r="B199" i="8"/>
  <c r="C198" i="8"/>
  <c r="B198" i="8"/>
  <c r="C197" i="8"/>
  <c r="B197" i="8"/>
  <c r="C196" i="8"/>
  <c r="B196" i="8"/>
  <c r="C195" i="8"/>
  <c r="B195" i="8"/>
  <c r="C194" i="8"/>
  <c r="B194" i="8"/>
  <c r="C193" i="8"/>
  <c r="B193" i="8"/>
  <c r="C192" i="8"/>
  <c r="B192" i="8"/>
  <c r="C191" i="8"/>
  <c r="B191" i="8"/>
  <c r="C190" i="8"/>
  <c r="B190" i="8"/>
  <c r="C189" i="8"/>
  <c r="B189" i="8"/>
  <c r="C188" i="8"/>
  <c r="B188" i="8"/>
  <c r="C187" i="8"/>
  <c r="B187" i="8"/>
  <c r="C186" i="8"/>
  <c r="B186" i="8"/>
  <c r="C185" i="8"/>
  <c r="B185" i="8"/>
  <c r="C184" i="8"/>
  <c r="B184" i="8"/>
  <c r="C183" i="8"/>
  <c r="B183" i="8"/>
  <c r="C182" i="8"/>
  <c r="B182" i="8"/>
  <c r="C181" i="8"/>
  <c r="B181" i="8"/>
  <c r="C180" i="8"/>
  <c r="B180" i="8"/>
  <c r="C179" i="8"/>
  <c r="B179" i="8"/>
  <c r="C178" i="8"/>
  <c r="B178" i="8"/>
  <c r="C177" i="8"/>
  <c r="B177" i="8"/>
  <c r="C176" i="8"/>
  <c r="B176" i="8"/>
  <c r="C175" i="8"/>
  <c r="B175" i="8"/>
  <c r="C174" i="8"/>
  <c r="B174" i="8"/>
  <c r="C173" i="8"/>
  <c r="B173" i="8"/>
  <c r="C172" i="8"/>
  <c r="B172" i="8"/>
  <c r="C171" i="8"/>
  <c r="B171" i="8"/>
  <c r="C170" i="8"/>
  <c r="B170" i="8"/>
  <c r="C169" i="8"/>
  <c r="B169" i="8"/>
  <c r="C168" i="8"/>
  <c r="B168" i="8"/>
  <c r="C167" i="8"/>
  <c r="B167" i="8"/>
  <c r="C166" i="8"/>
  <c r="B166" i="8"/>
  <c r="C165" i="8"/>
  <c r="B165" i="8"/>
  <c r="C164" i="8"/>
  <c r="B164" i="8"/>
  <c r="C163" i="8"/>
  <c r="B163" i="8"/>
  <c r="C162" i="8"/>
  <c r="B162" i="8"/>
  <c r="C161" i="8"/>
  <c r="B161" i="8"/>
  <c r="C160" i="8"/>
  <c r="B160" i="8"/>
  <c r="C159" i="8"/>
  <c r="B159" i="8"/>
  <c r="C158" i="8"/>
  <c r="B158" i="8"/>
  <c r="C157" i="8"/>
  <c r="B157" i="8"/>
  <c r="C156" i="8"/>
  <c r="B156" i="8"/>
  <c r="C155" i="8"/>
  <c r="B155" i="8"/>
  <c r="C154" i="8"/>
  <c r="B154" i="8"/>
  <c r="C153" i="8"/>
  <c r="B153" i="8"/>
  <c r="C152" i="8"/>
  <c r="B152" i="8"/>
  <c r="C151" i="8"/>
  <c r="B151" i="8"/>
  <c r="C150" i="8"/>
  <c r="B150" i="8"/>
  <c r="C149" i="8"/>
  <c r="B149" i="8"/>
  <c r="C148" i="8"/>
  <c r="B148" i="8"/>
  <c r="C147" i="8"/>
  <c r="B147" i="8"/>
  <c r="C146" i="8"/>
  <c r="B146" i="8"/>
  <c r="C145" i="8"/>
  <c r="B145" i="8"/>
  <c r="C144" i="8"/>
  <c r="B144" i="8"/>
  <c r="C143" i="8"/>
  <c r="B143" i="8"/>
  <c r="C142" i="8"/>
  <c r="B142" i="8"/>
  <c r="C141" i="8"/>
  <c r="B141" i="8"/>
  <c r="C140" i="8"/>
  <c r="B140" i="8"/>
  <c r="C139" i="8"/>
  <c r="B139" i="8"/>
  <c r="C138" i="8"/>
  <c r="B138" i="8"/>
  <c r="C137" i="8"/>
  <c r="B137" i="8"/>
  <c r="C136" i="8"/>
  <c r="B136" i="8"/>
  <c r="C135" i="8"/>
  <c r="B135" i="8"/>
  <c r="C134" i="8"/>
  <c r="B134" i="8"/>
  <c r="C133" i="8"/>
  <c r="B133" i="8"/>
  <c r="C132" i="8"/>
  <c r="B132" i="8"/>
  <c r="C131" i="8"/>
  <c r="B131" i="8"/>
  <c r="C130" i="8"/>
  <c r="B130" i="8"/>
  <c r="C129" i="8"/>
  <c r="B129" i="8"/>
  <c r="C128" i="8"/>
  <c r="B128" i="8"/>
  <c r="C127" i="8"/>
  <c r="B127" i="8"/>
  <c r="C126" i="8"/>
  <c r="B126" i="8"/>
  <c r="C125" i="8"/>
  <c r="B125" i="8"/>
  <c r="C124" i="8"/>
  <c r="B124" i="8"/>
  <c r="C123" i="8"/>
  <c r="B123" i="8"/>
  <c r="C122" i="8"/>
  <c r="B122" i="8"/>
  <c r="C121" i="8"/>
  <c r="B121" i="8"/>
  <c r="C120" i="8"/>
  <c r="B120" i="8"/>
  <c r="C119" i="8"/>
  <c r="B119" i="8"/>
  <c r="C118" i="8"/>
  <c r="B118" i="8"/>
  <c r="C117" i="8"/>
  <c r="B117" i="8"/>
  <c r="C116" i="8"/>
  <c r="B116" i="8"/>
  <c r="C115" i="8"/>
  <c r="B115" i="8"/>
  <c r="C114" i="8"/>
  <c r="B114" i="8"/>
  <c r="C113" i="8"/>
  <c r="B113" i="8"/>
  <c r="C112" i="8"/>
  <c r="B112" i="8"/>
  <c r="C111" i="8"/>
  <c r="B111" i="8"/>
  <c r="C110" i="8"/>
  <c r="B110" i="8"/>
  <c r="C109" i="8"/>
  <c r="B109" i="8"/>
  <c r="C108" i="8"/>
  <c r="B108" i="8"/>
  <c r="C107" i="8"/>
  <c r="B107" i="8"/>
  <c r="C106" i="8"/>
  <c r="B106" i="8"/>
  <c r="C105" i="8"/>
  <c r="B105" i="8"/>
  <c r="C104" i="8"/>
  <c r="B104" i="8"/>
  <c r="C103" i="8"/>
  <c r="B103" i="8"/>
  <c r="C102" i="8"/>
  <c r="B102" i="8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337" i="6"/>
  <c r="B337" i="6"/>
  <c r="C336" i="6"/>
  <c r="B336" i="6"/>
  <c r="C335" i="6"/>
  <c r="B335" i="6"/>
  <c r="C334" i="6"/>
  <c r="B334" i="6"/>
  <c r="C333" i="6"/>
  <c r="B333" i="6"/>
  <c r="C332" i="6"/>
  <c r="B332" i="6"/>
  <c r="C331" i="6"/>
  <c r="B331" i="6"/>
  <c r="C330" i="6"/>
  <c r="B330" i="6"/>
  <c r="C329" i="6"/>
  <c r="B329" i="6"/>
  <c r="C328" i="6"/>
  <c r="B328" i="6"/>
  <c r="C327" i="6"/>
  <c r="B327" i="6"/>
  <c r="C326" i="6"/>
  <c r="B326" i="6"/>
  <c r="C325" i="6"/>
  <c r="B325" i="6"/>
  <c r="C324" i="6"/>
  <c r="B324" i="6"/>
  <c r="C323" i="6"/>
  <c r="B323" i="6"/>
  <c r="C322" i="6"/>
  <c r="B322" i="6"/>
  <c r="C321" i="6"/>
  <c r="B321" i="6"/>
  <c r="C320" i="6"/>
  <c r="B320" i="6"/>
  <c r="C319" i="6"/>
  <c r="B319" i="6"/>
  <c r="C318" i="6"/>
  <c r="B318" i="6"/>
  <c r="C317" i="6"/>
  <c r="B317" i="6"/>
  <c r="C316" i="6"/>
  <c r="B316" i="6"/>
  <c r="C315" i="6"/>
  <c r="B315" i="6"/>
  <c r="C314" i="6"/>
  <c r="B314" i="6"/>
  <c r="C313" i="6"/>
  <c r="B313" i="6"/>
  <c r="C312" i="6"/>
  <c r="B312" i="6"/>
  <c r="C311" i="6"/>
  <c r="B311" i="6"/>
  <c r="C310" i="6"/>
  <c r="B310" i="6"/>
  <c r="C309" i="6"/>
  <c r="B309" i="6"/>
  <c r="C308" i="6"/>
  <c r="B308" i="6"/>
  <c r="C307" i="6"/>
  <c r="B307" i="6"/>
  <c r="C306" i="6"/>
  <c r="B306" i="6"/>
  <c r="C305" i="6"/>
  <c r="B305" i="6"/>
  <c r="C304" i="6"/>
  <c r="B304" i="6"/>
  <c r="C303" i="6"/>
  <c r="B303" i="6"/>
  <c r="C302" i="6"/>
  <c r="B302" i="6"/>
  <c r="C301" i="6"/>
  <c r="B301" i="6"/>
  <c r="C300" i="6"/>
  <c r="B300" i="6"/>
  <c r="C299" i="6"/>
  <c r="B299" i="6"/>
  <c r="C298" i="6"/>
  <c r="B298" i="6"/>
  <c r="C297" i="6"/>
  <c r="B297" i="6"/>
  <c r="C296" i="6"/>
  <c r="B296" i="6"/>
  <c r="C295" i="6"/>
  <c r="B295" i="6"/>
  <c r="C294" i="6"/>
  <c r="B294" i="6"/>
  <c r="C293" i="6"/>
  <c r="B293" i="6"/>
  <c r="C292" i="6"/>
  <c r="B292" i="6"/>
  <c r="C291" i="6"/>
  <c r="B291" i="6"/>
  <c r="C290" i="6"/>
  <c r="B290" i="6"/>
  <c r="C289" i="6"/>
  <c r="B289" i="6"/>
  <c r="C288" i="6"/>
  <c r="B288" i="6"/>
  <c r="C287" i="6"/>
  <c r="B287" i="6"/>
  <c r="C286" i="6"/>
  <c r="B286" i="6"/>
  <c r="C285" i="6"/>
  <c r="B285" i="6"/>
  <c r="C284" i="6"/>
  <c r="B284" i="6"/>
  <c r="C283" i="6"/>
  <c r="B283" i="6"/>
  <c r="C282" i="6"/>
  <c r="B282" i="6"/>
  <c r="C281" i="6"/>
  <c r="B281" i="6"/>
  <c r="C280" i="6"/>
  <c r="B280" i="6"/>
  <c r="C279" i="6"/>
  <c r="B279" i="6"/>
  <c r="C278" i="6"/>
  <c r="B278" i="6"/>
  <c r="C277" i="6"/>
  <c r="B277" i="6"/>
  <c r="C276" i="6"/>
  <c r="B276" i="6"/>
  <c r="C275" i="6"/>
  <c r="B275" i="6"/>
  <c r="C274" i="6"/>
  <c r="B274" i="6"/>
  <c r="C273" i="6"/>
  <c r="B273" i="6"/>
  <c r="C272" i="6"/>
  <c r="B272" i="6"/>
  <c r="C271" i="6"/>
  <c r="B271" i="6"/>
  <c r="C270" i="6"/>
  <c r="B270" i="6"/>
  <c r="C269" i="6"/>
  <c r="B269" i="6"/>
  <c r="C268" i="6"/>
  <c r="B268" i="6"/>
  <c r="C267" i="6"/>
  <c r="B267" i="6"/>
  <c r="C266" i="6"/>
  <c r="B266" i="6"/>
  <c r="C265" i="6"/>
  <c r="B265" i="6"/>
  <c r="C264" i="6"/>
  <c r="B264" i="6"/>
  <c r="C263" i="6"/>
  <c r="B263" i="6"/>
  <c r="C262" i="6"/>
  <c r="B262" i="6"/>
  <c r="C261" i="6"/>
  <c r="B261" i="6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337" i="5"/>
  <c r="B337" i="5"/>
  <c r="C336" i="5"/>
  <c r="B336" i="5"/>
  <c r="C335" i="5"/>
  <c r="B335" i="5"/>
  <c r="C334" i="5"/>
  <c r="B334" i="5"/>
  <c r="C333" i="5"/>
  <c r="B333" i="5"/>
  <c r="C332" i="5"/>
  <c r="B332" i="5"/>
  <c r="C331" i="5"/>
  <c r="B331" i="5"/>
  <c r="C330" i="5"/>
  <c r="B330" i="5"/>
  <c r="C329" i="5"/>
  <c r="B329" i="5"/>
  <c r="C328" i="5"/>
  <c r="B328" i="5"/>
  <c r="C327" i="5"/>
  <c r="B327" i="5"/>
  <c r="C326" i="5"/>
  <c r="B326" i="5"/>
  <c r="C325" i="5"/>
  <c r="B325" i="5"/>
  <c r="C324" i="5"/>
  <c r="B324" i="5"/>
  <c r="C323" i="5"/>
  <c r="B323" i="5"/>
  <c r="C322" i="5"/>
  <c r="B322" i="5"/>
  <c r="C321" i="5"/>
  <c r="B321" i="5"/>
  <c r="C320" i="5"/>
  <c r="B320" i="5"/>
  <c r="C319" i="5"/>
  <c r="B319" i="5"/>
  <c r="C318" i="5"/>
  <c r="B318" i="5"/>
  <c r="C317" i="5"/>
  <c r="B317" i="5"/>
  <c r="C316" i="5"/>
  <c r="B316" i="5"/>
  <c r="C315" i="5"/>
  <c r="B315" i="5"/>
  <c r="C314" i="5"/>
  <c r="B314" i="5"/>
  <c r="C313" i="5"/>
  <c r="B313" i="5"/>
  <c r="C312" i="5"/>
  <c r="B312" i="5"/>
  <c r="C311" i="5"/>
  <c r="B311" i="5"/>
  <c r="C310" i="5"/>
  <c r="B310" i="5"/>
  <c r="C309" i="5"/>
  <c r="B309" i="5"/>
  <c r="C308" i="5"/>
  <c r="B308" i="5"/>
  <c r="C307" i="5"/>
  <c r="B307" i="5"/>
  <c r="C306" i="5"/>
  <c r="B306" i="5"/>
  <c r="C305" i="5"/>
  <c r="B305" i="5"/>
  <c r="C304" i="5"/>
  <c r="B304" i="5"/>
  <c r="C303" i="5"/>
  <c r="B303" i="5"/>
  <c r="C302" i="5"/>
  <c r="B302" i="5"/>
  <c r="C301" i="5"/>
  <c r="B301" i="5"/>
  <c r="C300" i="5"/>
  <c r="B300" i="5"/>
  <c r="C299" i="5"/>
  <c r="B299" i="5"/>
  <c r="C298" i="5"/>
  <c r="B298" i="5"/>
  <c r="C297" i="5"/>
  <c r="B297" i="5"/>
  <c r="C296" i="5"/>
  <c r="B296" i="5"/>
  <c r="C295" i="5"/>
  <c r="B295" i="5"/>
  <c r="C294" i="5"/>
  <c r="B294" i="5"/>
  <c r="C293" i="5"/>
  <c r="B293" i="5"/>
  <c r="C292" i="5"/>
  <c r="B292" i="5"/>
  <c r="C291" i="5"/>
  <c r="B291" i="5"/>
  <c r="C290" i="5"/>
  <c r="B290" i="5"/>
  <c r="C289" i="5"/>
  <c r="B289" i="5"/>
  <c r="C288" i="5"/>
  <c r="B288" i="5"/>
  <c r="C287" i="5"/>
  <c r="B287" i="5"/>
  <c r="C286" i="5"/>
  <c r="B286" i="5"/>
  <c r="C285" i="5"/>
  <c r="B285" i="5"/>
  <c r="C284" i="5"/>
  <c r="B284" i="5"/>
  <c r="C283" i="5"/>
  <c r="B283" i="5"/>
  <c r="C282" i="5"/>
  <c r="B282" i="5"/>
  <c r="C281" i="5"/>
  <c r="B281" i="5"/>
  <c r="C280" i="5"/>
  <c r="B280" i="5"/>
  <c r="C279" i="5"/>
  <c r="B279" i="5"/>
  <c r="C278" i="5"/>
  <c r="B278" i="5"/>
  <c r="C277" i="5"/>
  <c r="B277" i="5"/>
  <c r="C276" i="5"/>
  <c r="B276" i="5"/>
  <c r="C275" i="5"/>
  <c r="B275" i="5"/>
  <c r="C274" i="5"/>
  <c r="B274" i="5"/>
  <c r="C273" i="5"/>
  <c r="B273" i="5"/>
  <c r="C272" i="5"/>
  <c r="B272" i="5"/>
  <c r="C271" i="5"/>
  <c r="B271" i="5"/>
  <c r="C270" i="5"/>
  <c r="B270" i="5"/>
  <c r="C269" i="5"/>
  <c r="B269" i="5"/>
  <c r="C268" i="5"/>
  <c r="B268" i="5"/>
  <c r="C267" i="5"/>
  <c r="B267" i="5"/>
  <c r="C266" i="5"/>
  <c r="B266" i="5"/>
  <c r="C265" i="5"/>
  <c r="B265" i="5"/>
  <c r="C264" i="5"/>
  <c r="B264" i="5"/>
  <c r="C263" i="5"/>
  <c r="B263" i="5"/>
  <c r="C262" i="5"/>
  <c r="B262" i="5"/>
  <c r="C261" i="5"/>
  <c r="B261" i="5"/>
  <c r="C260" i="5"/>
  <c r="B260" i="5"/>
  <c r="C259" i="5"/>
  <c r="B259" i="5"/>
  <c r="C258" i="5"/>
  <c r="B258" i="5"/>
  <c r="C257" i="5"/>
  <c r="B257" i="5"/>
  <c r="C256" i="5"/>
  <c r="B256" i="5"/>
  <c r="C255" i="5"/>
  <c r="B255" i="5"/>
  <c r="C254" i="5"/>
  <c r="B254" i="5"/>
  <c r="C253" i="5"/>
  <c r="B253" i="5"/>
  <c r="C252" i="5"/>
  <c r="B252" i="5"/>
  <c r="C251" i="5"/>
  <c r="B251" i="5"/>
  <c r="C250" i="5"/>
  <c r="B250" i="5"/>
  <c r="C249" i="5"/>
  <c r="B249" i="5"/>
  <c r="C248" i="5"/>
  <c r="B248" i="5"/>
  <c r="C247" i="5"/>
  <c r="B247" i="5"/>
  <c r="C246" i="5"/>
  <c r="B246" i="5"/>
  <c r="C245" i="5"/>
  <c r="B245" i="5"/>
  <c r="C244" i="5"/>
  <c r="B244" i="5"/>
  <c r="C243" i="5"/>
  <c r="B243" i="5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C317" i="1"/>
  <c r="B317" i="1"/>
  <c r="B316" i="1"/>
  <c r="C31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C296" i="1"/>
  <c r="B296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C275" i="1"/>
  <c r="B275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C254" i="1"/>
  <c r="B254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C233" i="1"/>
  <c r="B233" i="1"/>
  <c r="C232" i="1"/>
  <c r="B23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C212" i="1"/>
  <c r="B212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C191" i="1"/>
  <c r="B191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C170" i="1"/>
  <c r="B170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C149" i="1"/>
  <c r="B149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C128" i="1"/>
  <c r="B128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C107" i="1"/>
  <c r="B107" i="1"/>
  <c r="B106" i="1"/>
  <c r="C10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C86" i="1"/>
  <c r="B86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C65" i="1"/>
  <c r="B65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C44" i="1"/>
  <c r="B44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C23" i="1"/>
  <c r="B23" i="1"/>
</calcChain>
</file>

<file path=xl/sharedStrings.xml><?xml version="1.0" encoding="utf-8"?>
<sst xmlns="http://schemas.openxmlformats.org/spreadsheetml/2006/main" count="79105" uniqueCount="108">
  <si>
    <t>Image.no</t>
  </si>
  <si>
    <t>a</t>
  </si>
  <si>
    <t>b</t>
  </si>
  <si>
    <t>print size</t>
  </si>
  <si>
    <t>SubID</t>
  </si>
  <si>
    <t>L1</t>
  </si>
  <si>
    <t>L2</t>
  </si>
  <si>
    <t>L3</t>
  </si>
  <si>
    <t>L4</t>
  </si>
  <si>
    <t>L5</t>
  </si>
  <si>
    <t>R1</t>
  </si>
  <si>
    <t>R2</t>
  </si>
  <si>
    <t>R3</t>
  </si>
  <si>
    <t>R4</t>
  </si>
  <si>
    <t>R5</t>
  </si>
  <si>
    <t>Chart1</t>
  </si>
  <si>
    <t>B1</t>
  </si>
  <si>
    <t>C</t>
  </si>
  <si>
    <t>V</t>
  </si>
  <si>
    <t>D</t>
  </si>
  <si>
    <t>O</t>
  </si>
  <si>
    <t>S</t>
  </si>
  <si>
    <t>H</t>
  </si>
  <si>
    <t>K</t>
  </si>
  <si>
    <t>N</t>
  </si>
  <si>
    <t>R</t>
  </si>
  <si>
    <t>Z</t>
  </si>
  <si>
    <t>Chart2</t>
  </si>
  <si>
    <t>Chart3</t>
  </si>
  <si>
    <t>Chart4</t>
  </si>
  <si>
    <t>Chart5</t>
  </si>
  <si>
    <t>Chart6</t>
  </si>
  <si>
    <t>Chart7</t>
  </si>
  <si>
    <t>Chart8</t>
  </si>
  <si>
    <t>Chart9</t>
  </si>
  <si>
    <t>Chart10</t>
  </si>
  <si>
    <t>Chart11</t>
  </si>
  <si>
    <t>Chart12</t>
  </si>
  <si>
    <t>Chart13</t>
  </si>
  <si>
    <t>Chart14</t>
  </si>
  <si>
    <t>Chart15</t>
  </si>
  <si>
    <t>Chart16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</si>
  <si>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</si>
  <si>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</si>
  <si>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</si>
  <si>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</si>
  <si>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</si>
  <si>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</si>
  <si>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</si>
  <si>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</si>
  <si>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</si>
  <si>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</si>
  <si>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Chart17</t>
  </si>
  <si>
    <t>Chart18</t>
  </si>
  <si>
    <t>Chart19</t>
  </si>
  <si>
    <t>Chart20</t>
  </si>
  <si>
    <t>Chart21</t>
  </si>
  <si>
    <t>Chart22</t>
  </si>
  <si>
    <t>Chart23</t>
  </si>
  <si>
    <t>Chart24</t>
  </si>
  <si>
    <t>Chart25</t>
  </si>
  <si>
    <t>Chart26</t>
  </si>
  <si>
    <t>B12</t>
  </si>
  <si>
    <t>Chart27</t>
  </si>
  <si>
    <t>B13</t>
  </si>
  <si>
    <t>Chart28</t>
  </si>
  <si>
    <t>Chart29</t>
  </si>
  <si>
    <t>Chart30</t>
  </si>
  <si>
    <t>Chart31</t>
  </si>
  <si>
    <t>Chart32</t>
  </si>
  <si>
    <t>Chart33</t>
  </si>
  <si>
    <t>Chart34</t>
  </si>
  <si>
    <t>Chart35</t>
  </si>
  <si>
    <t>Chart36</t>
  </si>
  <si>
    <t>Chart37</t>
  </si>
  <si>
    <t>Chart38</t>
  </si>
  <si>
    <t>Chart39</t>
  </si>
  <si>
    <t>Chart40</t>
  </si>
  <si>
    <t>Chart41</t>
  </si>
  <si>
    <t>Chart42</t>
  </si>
  <si>
    <t>B14</t>
  </si>
  <si>
    <t>B15</t>
  </si>
  <si>
    <t>B20</t>
  </si>
  <si>
    <t>B21</t>
  </si>
  <si>
    <t>B22</t>
  </si>
  <si>
    <t>Chart43</t>
  </si>
  <si>
    <t>N1</t>
  </si>
  <si>
    <t>Chart44</t>
  </si>
  <si>
    <t>Chart45</t>
  </si>
  <si>
    <t>Chart46</t>
  </si>
  <si>
    <t>Chart47</t>
  </si>
  <si>
    <t>Chart48</t>
  </si>
  <si>
    <t>N2</t>
  </si>
  <si>
    <t>Chart49</t>
  </si>
  <si>
    <t>Chart50</t>
  </si>
  <si>
    <t>Chart51</t>
  </si>
  <si>
    <t>Chart52</t>
  </si>
  <si>
    <t>Chart53</t>
  </si>
  <si>
    <t>Chart54</t>
  </si>
  <si>
    <t>Chart55</t>
  </si>
  <si>
    <t>N3</t>
  </si>
  <si>
    <t>N4</t>
  </si>
  <si>
    <t>N5</t>
  </si>
  <si>
    <t>N6</t>
  </si>
  <si>
    <t>N7</t>
  </si>
  <si>
    <t>N8</t>
  </si>
  <si>
    <t>N9</t>
  </si>
  <si>
    <t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</si>
</sst>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BCFF-8227-6D4C-8E3F-A8AB33003D9B}">
  <dimension ref="A1:O337"/>
  <sheetViews>
    <sheetView zoomScale="125" zoomScaleNormal="140" workbookViewId="0">
      <pane ySplit="1" topLeftCell="A2" activePane="bottomLeft" state="frozen"/>
      <selection pane="bottomLeft" activeCell="D7" sqref="D7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16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16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16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16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16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16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16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16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16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16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16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16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16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16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16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16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16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K19" t="s">
        <v>24</v>
      </c>
      <c r="L19" t="s">
        <v>26</v>
      </c>
      <c r="M19" t="s">
        <v>22</v>
      </c>
      <c r="N19" t="s">
        <v>21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16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16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16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16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16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16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16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16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16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16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16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16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16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16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16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16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16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16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N37" t="s">
        <v>18</v>
      </c>
      <c r="O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16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L38" t="s">
        <v>26</v>
      </c>
      <c r="O38" t="s">
        <v>17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16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16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16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16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16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16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16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16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16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16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16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16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16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16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16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16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16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  <c r="L55" t="s">
        <v>25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16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16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16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16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16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16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16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16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16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16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16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16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16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16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16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16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16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16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  <c r="O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16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16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16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16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16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16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16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16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16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16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16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16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16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16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16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16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16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16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16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16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16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16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16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16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16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16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16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16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16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16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16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16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16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16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L107" t="s">
        <v>17</v>
      </c>
      <c r="N107" t="s">
        <v>20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16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16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16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16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16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16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16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16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16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16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16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16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16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16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16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16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16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16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16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16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16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16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16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16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16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16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16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16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16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16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16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16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16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16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16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  <c r="O142" t="s">
        <v>22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16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  <c r="L143" t="s">
        <v>19</v>
      </c>
      <c r="O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16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16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16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16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16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16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16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16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16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16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16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16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16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16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16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16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16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16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K161" t="s">
        <v>18</v>
      </c>
      <c r="N161" t="s">
        <v>26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16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16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16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16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16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16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16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16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16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16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16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16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16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16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16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16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16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  <c r="K178" t="s">
        <v>21</v>
      </c>
      <c r="L178" t="s">
        <v>17</v>
      </c>
      <c r="N178" t="s">
        <v>24</v>
      </c>
      <c r="O178" t="s">
        <v>18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16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16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16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16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16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16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16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16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16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16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16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16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16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16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16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16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16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  <c r="N195" t="s">
        <v>23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16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16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16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16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16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16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16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16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16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16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16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16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16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16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16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16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16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16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16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16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16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16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16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16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16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16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16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16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16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16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16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16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16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16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16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16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16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16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16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16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16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16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16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16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16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16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16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16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16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16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16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16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L247" t="s">
        <v>20</v>
      </c>
      <c r="M247" t="s">
        <v>19</v>
      </c>
      <c r="N247" t="s">
        <v>23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16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  <c r="K248" t="s">
        <v>24</v>
      </c>
      <c r="L248" t="s">
        <v>26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16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16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16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16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16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16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16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16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16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16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16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16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16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16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16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16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  <c r="O264" t="s">
        <v>19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16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L265" t="s">
        <v>22</v>
      </c>
      <c r="M265" t="s">
        <v>20</v>
      </c>
      <c r="N265" t="s">
        <v>25</v>
      </c>
      <c r="O265" t="s">
        <v>18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16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16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16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16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16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16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16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16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16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16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16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16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16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16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16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16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L281" t="s">
        <v>17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16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M282" t="s">
        <v>18</v>
      </c>
      <c r="N282" t="s">
        <v>25</v>
      </c>
      <c r="O282" t="s">
        <v>19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16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16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16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16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16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16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16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16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16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16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16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16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16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16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16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16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M298" t="s">
        <v>20</v>
      </c>
      <c r="N298" t="s">
        <v>23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16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16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16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16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16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16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0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16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0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16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0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16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0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16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0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16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0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16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0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16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0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16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0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16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0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16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0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16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0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16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0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16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</row>
    <row r="318" spans="1:10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16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0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16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0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16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16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16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16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16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16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16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16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16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16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16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16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16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16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16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16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16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16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D75A-57A0-8345-ACEA-106357CD41BA}">
  <dimension ref="A1:O337"/>
  <sheetViews>
    <sheetView zoomScale="135" zoomScaleNormal="135" workbookViewId="0">
      <selection activeCell="F10" sqref="F10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42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42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42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42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42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42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42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42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42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42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42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42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42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42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42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42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42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42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K19" t="s">
        <v>24</v>
      </c>
      <c r="L19" t="s">
        <v>26</v>
      </c>
      <c r="M19" t="s">
        <v>22</v>
      </c>
      <c r="N19" t="s">
        <v>21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42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42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  <c r="L21" t="s">
        <v>25</v>
      </c>
      <c r="M21" t="s">
        <v>26</v>
      </c>
      <c r="N21" t="s">
        <v>21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42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42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42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42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42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42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42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42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42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42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42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42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42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42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42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42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O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42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K38" t="s">
        <v>20</v>
      </c>
      <c r="L38" t="s">
        <v>26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42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42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42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42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42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42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42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42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42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42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42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42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42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42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42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42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42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  <c r="L55" t="s">
        <v>25</v>
      </c>
      <c r="M55" t="s">
        <v>24</v>
      </c>
      <c r="N55" t="s">
        <v>22</v>
      </c>
      <c r="O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42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  <c r="K56" t="s">
        <v>26</v>
      </c>
      <c r="L56" t="s">
        <v>19</v>
      </c>
      <c r="N56" t="s">
        <v>24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42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42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42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42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42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42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42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42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42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42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42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42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42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42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42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42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42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  <c r="K73" t="s">
        <v>17</v>
      </c>
      <c r="L73" t="s">
        <v>19</v>
      </c>
      <c r="M73" t="s">
        <v>21</v>
      </c>
      <c r="O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42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42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42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42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42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42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42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42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42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42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42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42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42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42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42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42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42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42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42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42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42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42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42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42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42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42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42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42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42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42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42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42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42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42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N107" t="s">
        <v>20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42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42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42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42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42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42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42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42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42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42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42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42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42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42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42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42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42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42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42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42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42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42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42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42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42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42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42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42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42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42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42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42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42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42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42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  <c r="O142" t="s">
        <v>22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42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  <c r="K143" t="s">
        <v>17</v>
      </c>
      <c r="L143" t="s">
        <v>19</v>
      </c>
      <c r="M143" t="s">
        <v>23</v>
      </c>
      <c r="O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42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42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42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42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42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42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42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42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42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42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42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42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42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42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42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42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42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  <c r="O160" t="s">
        <v>25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42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L161" t="s">
        <v>21</v>
      </c>
      <c r="M161" t="s">
        <v>22</v>
      </c>
      <c r="N161" t="s">
        <v>26</v>
      </c>
      <c r="O161" t="s">
        <v>19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42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42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42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42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42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42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42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42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42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42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42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42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42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42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42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42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M177" t="s">
        <v>22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42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  <c r="K178" t="s">
        <v>21</v>
      </c>
      <c r="L178" t="s">
        <v>17</v>
      </c>
      <c r="M178" t="s">
        <v>23</v>
      </c>
      <c r="N178" t="s">
        <v>24</v>
      </c>
      <c r="O178" t="s">
        <v>18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42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  <c r="L179" t="s">
        <v>24</v>
      </c>
      <c r="M179" t="s">
        <v>26</v>
      </c>
      <c r="N179" t="s">
        <v>17</v>
      </c>
      <c r="O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42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42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42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42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42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42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42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42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42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42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42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42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42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42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42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42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  <c r="N195" t="s">
        <v>23</v>
      </c>
      <c r="O195" t="s">
        <v>21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42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  <c r="K196" t="s">
        <v>21</v>
      </c>
      <c r="L196" t="s">
        <v>18</v>
      </c>
      <c r="N196" t="s">
        <v>24</v>
      </c>
      <c r="O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42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42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42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42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42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42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42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42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42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42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42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42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42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42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42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42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42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  <c r="K213" t="s">
        <v>20</v>
      </c>
      <c r="L213" t="s">
        <v>21</v>
      </c>
      <c r="O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42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42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42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42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42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42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42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42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42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42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42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42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42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42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42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42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42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42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42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42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42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42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42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42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42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42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42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42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42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42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42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42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42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42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K247" t="s">
        <v>25</v>
      </c>
      <c r="L247" t="s">
        <v>20</v>
      </c>
      <c r="M247" t="s">
        <v>19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42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  <c r="K248" t="s">
        <v>24</v>
      </c>
      <c r="L248" t="s">
        <v>26</v>
      </c>
      <c r="N248" t="s">
        <v>25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42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42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42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42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42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42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42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42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42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42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42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42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42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42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42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42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  <c r="O264" t="s">
        <v>19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42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L265" t="s">
        <v>22</v>
      </c>
      <c r="M265" t="s">
        <v>20</v>
      </c>
      <c r="N265" t="s">
        <v>25</v>
      </c>
      <c r="O265" t="s">
        <v>18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42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42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42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42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42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42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42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42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42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42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42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42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42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42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42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42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L281" t="s">
        <v>17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42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M282" t="s">
        <v>18</v>
      </c>
      <c r="N282" t="s">
        <v>25</v>
      </c>
      <c r="O282" t="s">
        <v>19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42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  <c r="K283" t="s">
        <v>24</v>
      </c>
      <c r="M283" t="s">
        <v>21</v>
      </c>
      <c r="N283" t="s">
        <v>20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42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42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42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42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42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42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42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42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42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42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42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42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42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42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42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N298" t="s">
        <v>23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42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  <c r="K299" t="s">
        <v>24</v>
      </c>
      <c r="L299" t="s">
        <v>23</v>
      </c>
      <c r="M299" t="s">
        <v>18</v>
      </c>
      <c r="N299" t="s">
        <v>20</v>
      </c>
      <c r="O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42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  <c r="K300" t="s">
        <v>23</v>
      </c>
      <c r="L300" t="s">
        <v>26</v>
      </c>
      <c r="M300" t="s">
        <v>19</v>
      </c>
      <c r="N300" t="s">
        <v>22</v>
      </c>
      <c r="O300" t="s">
        <v>24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42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  <c r="L301" t="s">
        <v>25</v>
      </c>
      <c r="O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42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42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42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0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42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0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42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0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42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0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42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0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42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0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42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0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42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0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42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0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42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0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42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0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42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0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42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0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42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</row>
    <row r="318" spans="1:10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42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0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42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0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42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42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42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42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42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42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42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42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42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42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42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42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42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42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42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42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42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42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EE67-5F0B-F540-97DB-B193CE9D0473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43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43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43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43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43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43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43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43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43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43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43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43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43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43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43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43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43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M19" t="s">
        <v>22</v>
      </c>
      <c r="N19" t="s">
        <v>21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43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43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43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43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43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43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43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43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43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43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43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43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43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43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43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43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43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43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N37" t="s">
        <v>18</v>
      </c>
      <c r="O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43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43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43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43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43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43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43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43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43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43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43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43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43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43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43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43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43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43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  <c r="K55" t="s">
        <v>20</v>
      </c>
      <c r="L55" t="s">
        <v>25</v>
      </c>
      <c r="M55" t="s">
        <v>24</v>
      </c>
      <c r="O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43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43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43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43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43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43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43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43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43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43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43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43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43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43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43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43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43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43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43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43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43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43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43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43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43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43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43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43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43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43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43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43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43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43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43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43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43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43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43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43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43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43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43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43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43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43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43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43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43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43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43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43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43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43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43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43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43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43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43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43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43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43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43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43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43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43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43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43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43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43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43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43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43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43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43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43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43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43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43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43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43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43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43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43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43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43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43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  <c r="O142" t="s">
        <v>22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43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43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43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43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43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43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43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43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43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43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43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43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43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43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43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43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43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43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N160" t="s">
        <v>24</v>
      </c>
      <c r="O160" t="s">
        <v>25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43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43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43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43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43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43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43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43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43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43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43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43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43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43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43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43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43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M177" t="s">
        <v>22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43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43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43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43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43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43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43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43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43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43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43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43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43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43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43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43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43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43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  <c r="N195" t="s">
        <v>23</v>
      </c>
      <c r="O195" t="s">
        <v>21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43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43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43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43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43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43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43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43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43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43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43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43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43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43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43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43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43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43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43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43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43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43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43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43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43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43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43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43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43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43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43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43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43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43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43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43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43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43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43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43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43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43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43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43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43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43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43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43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43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43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43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43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L247" t="s">
        <v>20</v>
      </c>
      <c r="M247" t="s">
        <v>19</v>
      </c>
      <c r="N247" t="s">
        <v>23</v>
      </c>
      <c r="O247" t="s">
        <v>22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43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43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43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43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43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43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43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43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43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43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43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43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43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43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43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43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43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43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L265" t="s">
        <v>22</v>
      </c>
      <c r="M265" t="s">
        <v>20</v>
      </c>
      <c r="O265" t="s">
        <v>18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43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  <c r="O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43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43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43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43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43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43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43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43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43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43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43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43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43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43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43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L281" t="s">
        <v>17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43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L282" t="s">
        <v>21</v>
      </c>
      <c r="M282" t="s">
        <v>18</v>
      </c>
      <c r="N282" t="s">
        <v>25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43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43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43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43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43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43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43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43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43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43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43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43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43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43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43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43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N298" t="s">
        <v>23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43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43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43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43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43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43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0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43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0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43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0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43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0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43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0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43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0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43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0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43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0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43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0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43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0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43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0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43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0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43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0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43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</row>
    <row r="318" spans="1:10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43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0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43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0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43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43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43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43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43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43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43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43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43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43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43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43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43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43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43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43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43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43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DA60-7081-194C-9F1C-F9946CB52EE6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44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44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44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44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44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44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44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44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44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44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44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44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44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44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44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44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44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44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K19" t="s">
        <v>24</v>
      </c>
      <c r="L19" t="s">
        <v>26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44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44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44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44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44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44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44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44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44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44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44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44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44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44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44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44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44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44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L37" t="s">
        <v>20</v>
      </c>
      <c r="M37" t="s">
        <v>23</v>
      </c>
      <c r="N37" t="s">
        <v>18</v>
      </c>
      <c r="O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44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K38" t="s">
        <v>20</v>
      </c>
      <c r="L38" t="s">
        <v>26</v>
      </c>
      <c r="M38" t="s">
        <v>23</v>
      </c>
      <c r="O38" t="s">
        <v>17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44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44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44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44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44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44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44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44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44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44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44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44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44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44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44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44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N54" t="s">
        <v>17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44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  <c r="K55" t="s">
        <v>20</v>
      </c>
      <c r="M55" t="s">
        <v>24</v>
      </c>
      <c r="O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44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44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44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44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44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44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44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44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44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44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44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44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44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44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44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44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44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44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  <c r="K73" t="s">
        <v>17</v>
      </c>
      <c r="M73" t="s">
        <v>21</v>
      </c>
      <c r="O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44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44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44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44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44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44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44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44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44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44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44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44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44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44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44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44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44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44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44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44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44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44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44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44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44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44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44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44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44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44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44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44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44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44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44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44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44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44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44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44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44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44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44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44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44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44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44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44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44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44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44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44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44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44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44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44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44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44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44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44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44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44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44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44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44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44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44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44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44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44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  <c r="K143" t="s">
        <v>17</v>
      </c>
      <c r="L143" t="s">
        <v>19</v>
      </c>
      <c r="M143" t="s">
        <v>23</v>
      </c>
      <c r="N143" t="s">
        <v>20</v>
      </c>
      <c r="O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44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  <c r="L144" t="s">
        <v>26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44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44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44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44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44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44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44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44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44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44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44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44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44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44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44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44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44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K161" t="s">
        <v>18</v>
      </c>
      <c r="L161" t="s">
        <v>21</v>
      </c>
      <c r="N161" t="s">
        <v>26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44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44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44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44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44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44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44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44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44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44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44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44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44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44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44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44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M177" t="s">
        <v>22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44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  <c r="L178" t="s">
        <v>17</v>
      </c>
      <c r="M178" t="s">
        <v>23</v>
      </c>
      <c r="N178" t="s">
        <v>24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44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44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44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44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44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44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44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44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44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44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44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44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44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44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44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44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44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  <c r="N195" t="s">
        <v>23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44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44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44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44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44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44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44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44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44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44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44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44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44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44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44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44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44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44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44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44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44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44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44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44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44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44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44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44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44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44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44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44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44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44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44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44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44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44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44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44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44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44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44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44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44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44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44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44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44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44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44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44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K247" t="s">
        <v>25</v>
      </c>
      <c r="L247" t="s">
        <v>20</v>
      </c>
      <c r="M247" t="s">
        <v>19</v>
      </c>
      <c r="N247" t="s">
        <v>23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44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44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44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44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44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44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44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44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44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44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44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44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44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44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44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44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44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  <c r="O264" t="s">
        <v>19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44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M265" t="s">
        <v>20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44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44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44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44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44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44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44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44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44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44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44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44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44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44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44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44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L281" t="s">
        <v>17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44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M282" t="s">
        <v>18</v>
      </c>
      <c r="N282" t="s">
        <v>25</v>
      </c>
      <c r="O282" t="s">
        <v>19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44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44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44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44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44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44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44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44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44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44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44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44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44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44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44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44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N298" t="s">
        <v>23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44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  <c r="K299" t="s">
        <v>24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44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44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44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44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44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3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44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3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44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3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44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3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44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3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44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3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44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3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44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3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44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3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44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3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44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3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44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3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44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3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44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  <c r="M317" t="s">
        <v>24</v>
      </c>
    </row>
    <row r="318" spans="1:13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44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3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44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3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44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44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44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44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44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44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44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44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44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44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44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44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44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44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44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44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44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44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8BF3-EE61-2B46-B9F9-C8A92857F599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45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45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45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45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45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45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45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45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45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45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45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45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45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45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45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45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45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L19" t="s">
        <v>26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45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45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45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45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45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45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45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45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45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45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45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45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45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45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45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45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45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45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45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45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45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45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45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45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45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45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45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45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45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45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45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45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45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45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45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45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45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45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45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45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45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45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45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45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45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45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45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45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45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45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45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45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45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45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45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45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45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45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45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45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45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45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45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45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45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45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45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45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45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M88" t="s">
        <v>20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45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45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45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45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45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45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45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45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4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45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4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45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4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45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4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45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4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45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4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45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4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45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4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45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4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45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4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45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4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45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N107" t="s">
        <v>20</v>
      </c>
    </row>
    <row r="108" spans="1:14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45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4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45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4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45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4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45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4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45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45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45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45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45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45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45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45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45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45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45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45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45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45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45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45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45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45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45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45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45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45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45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45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45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45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45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45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45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45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45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45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45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45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45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45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45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45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45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45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45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45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45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45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45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45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45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45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45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M160" t="s">
        <v>17</v>
      </c>
      <c r="N160" t="s">
        <v>24</v>
      </c>
      <c r="O160" t="s">
        <v>25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45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45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45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45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45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45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45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45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45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45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45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45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45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45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45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45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45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45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45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45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45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45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45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45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45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45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45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45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45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45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45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45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45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45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45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L195" t="s">
        <v>24</v>
      </c>
      <c r="M195" t="s">
        <v>22</v>
      </c>
      <c r="O195" t="s">
        <v>21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45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45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45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45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45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45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45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45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45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45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45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45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45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45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45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45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45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45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  <c r="K213" t="s">
        <v>20</v>
      </c>
      <c r="O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45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45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45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45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45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45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45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45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45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45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45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45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45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45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45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45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45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45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45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45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45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45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45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45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45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45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45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45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45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45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45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45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45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45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45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45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45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45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45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45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45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45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45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45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45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45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45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45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45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45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45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M264" t="s">
        <v>17</v>
      </c>
      <c r="O264" t="s">
        <v>19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45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45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45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45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45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45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45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45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45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45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45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45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45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45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45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45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45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45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L282" t="s">
        <v>21</v>
      </c>
      <c r="M282" t="s">
        <v>18</v>
      </c>
      <c r="N282" t="s">
        <v>25</v>
      </c>
      <c r="O282" t="s">
        <v>19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45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  <c r="K283" t="s">
        <v>24</v>
      </c>
      <c r="N283" t="s">
        <v>20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45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45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45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45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45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45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45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45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45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45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45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45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45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45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45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N298" t="s">
        <v>23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45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45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  <c r="K300" t="s">
        <v>23</v>
      </c>
      <c r="L300" t="s">
        <v>26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45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45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45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45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3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45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3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45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3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45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3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45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3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45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3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45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3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45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3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45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3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45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3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45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3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45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3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45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3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45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  <c r="L317" t="s">
        <v>17</v>
      </c>
      <c r="M317" t="s">
        <v>24</v>
      </c>
    </row>
    <row r="318" spans="1:13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45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3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45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3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45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45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45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45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45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45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45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45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45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45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45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45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45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45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45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45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45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45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6453-FC58-6148-959F-83659CD900AC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46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46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46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46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46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46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46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46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46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46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46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46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46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46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46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46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46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K19" t="s">
        <v>24</v>
      </c>
      <c r="L19" t="s">
        <v>26</v>
      </c>
      <c r="M19" t="s">
        <v>22</v>
      </c>
      <c r="N19" t="s">
        <v>21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46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46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  <c r="K21" t="s">
        <v>20</v>
      </c>
      <c r="L21" t="s">
        <v>25</v>
      </c>
      <c r="M21" t="s">
        <v>26</v>
      </c>
      <c r="N21" t="s">
        <v>21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46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  <c r="L22" t="s">
        <v>18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46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46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46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46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46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46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46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46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46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46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46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46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46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46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46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N37" t="s">
        <v>18</v>
      </c>
      <c r="O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46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K38" t="s">
        <v>20</v>
      </c>
      <c r="L38" t="s">
        <v>26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46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46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46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46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46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46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46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46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46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46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46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46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46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46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46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46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46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  <c r="K55" t="s">
        <v>20</v>
      </c>
      <c r="L55" t="s">
        <v>25</v>
      </c>
      <c r="M55" t="s">
        <v>24</v>
      </c>
      <c r="N55" t="s">
        <v>22</v>
      </c>
      <c r="O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46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  <c r="K56" t="s">
        <v>26</v>
      </c>
      <c r="M56" t="s">
        <v>20</v>
      </c>
      <c r="N56" t="s">
        <v>24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46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46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46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46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46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46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46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46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46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46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46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46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46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46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46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46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46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  <c r="K73" t="s">
        <v>17</v>
      </c>
      <c r="N73" t="s">
        <v>25</v>
      </c>
      <c r="O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46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46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46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46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46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46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46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46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46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46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46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46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46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46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46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46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46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46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46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46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46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46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46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46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46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46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46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46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46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46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46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46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46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46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N107" t="s">
        <v>20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46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46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46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46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46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46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46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46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46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46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46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46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46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46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46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46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46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46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46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46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46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46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46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46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46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46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46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46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46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46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46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46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46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46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46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46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  <c r="L143" t="s">
        <v>19</v>
      </c>
      <c r="M143" t="s">
        <v>23</v>
      </c>
      <c r="N143" t="s">
        <v>20</v>
      </c>
      <c r="O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46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46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46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46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46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46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46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46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46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46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46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46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46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46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46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46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46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  <c r="O160" t="s">
        <v>25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46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L161" t="s">
        <v>21</v>
      </c>
      <c r="M161" t="s">
        <v>22</v>
      </c>
      <c r="N161" t="s">
        <v>26</v>
      </c>
      <c r="O161" t="s">
        <v>19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46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46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46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46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46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46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46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46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46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46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46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46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46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46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46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46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M177" t="s">
        <v>22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46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  <c r="L178" t="s">
        <v>17</v>
      </c>
      <c r="N178" t="s">
        <v>24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46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46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46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46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46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46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46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46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46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46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46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46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46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46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46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46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46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  <c r="N195" t="s">
        <v>23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46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46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46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46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46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46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46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46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46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46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46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46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46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46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46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46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46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46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46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46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46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46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46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46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46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46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46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46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46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46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46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46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46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46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46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46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46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46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46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46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46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46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46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46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46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46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46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46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46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46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46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46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K247" t="s">
        <v>25</v>
      </c>
      <c r="L247" t="s">
        <v>20</v>
      </c>
      <c r="M247" t="s">
        <v>19</v>
      </c>
      <c r="N247" t="s">
        <v>23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46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  <c r="K248" t="s">
        <v>24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46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46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46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46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46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46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46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46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46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46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46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46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46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46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46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46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46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L265" t="s">
        <v>22</v>
      </c>
      <c r="M265" t="s">
        <v>20</v>
      </c>
      <c r="N265" t="s">
        <v>25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46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46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46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46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46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46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46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46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46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46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46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46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46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46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46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46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L281" t="s">
        <v>17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46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L282" t="s">
        <v>21</v>
      </c>
      <c r="M282" t="s">
        <v>18</v>
      </c>
      <c r="N282" t="s">
        <v>25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46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46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46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46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46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46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46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46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46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46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46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46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46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46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46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46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46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46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46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46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46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46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2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46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2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46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2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46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2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46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2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46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2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46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2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46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2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46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2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46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2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46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2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46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2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46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2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46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  <c r="K317" t="s">
        <v>18</v>
      </c>
      <c r="L317" t="s">
        <v>17</v>
      </c>
    </row>
    <row r="318" spans="1:12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46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2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46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2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46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46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46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46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46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46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46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46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46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46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46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46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46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46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46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46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46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46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9157-B965-1448-BBF5-284A0504EF98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47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47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47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47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47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47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47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47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47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47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47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47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47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47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47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47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47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K19" t="s">
        <v>24</v>
      </c>
      <c r="L19" t="s">
        <v>26</v>
      </c>
      <c r="N19" t="s">
        <v>21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47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47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47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47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47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47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47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47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47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47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47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47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47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47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47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47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47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47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N37" t="s">
        <v>18</v>
      </c>
      <c r="O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47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K38" t="s">
        <v>20</v>
      </c>
      <c r="L38" t="s">
        <v>26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47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47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47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47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47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47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47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47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47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47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47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47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47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47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47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47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47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  <c r="K55" t="s">
        <v>20</v>
      </c>
      <c r="L55" t="s">
        <v>25</v>
      </c>
      <c r="M55" t="s">
        <v>24</v>
      </c>
      <c r="N55" t="s">
        <v>22</v>
      </c>
      <c r="O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47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  <c r="K56" t="s">
        <v>26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47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47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47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47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47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47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47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47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47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47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47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47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47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47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47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47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47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47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47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47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47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47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47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47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47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47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47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47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47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47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47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47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47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47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47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  <c r="K91" t="s">
        <v>18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47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47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47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47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47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47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47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47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47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47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47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47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47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47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47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47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N107" t="s">
        <v>20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47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47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47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47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47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47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47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47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47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47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47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47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47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47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47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47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47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47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47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47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47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47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47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47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47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47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47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47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47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47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47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47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47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47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47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47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  <c r="L143" t="s">
        <v>19</v>
      </c>
      <c r="M143" t="s">
        <v>23</v>
      </c>
      <c r="O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47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47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47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47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47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47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47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47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47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47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47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47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47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47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47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47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47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  <c r="O160" t="s">
        <v>25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47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L161" t="s">
        <v>21</v>
      </c>
      <c r="N161" t="s">
        <v>26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47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47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47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47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47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47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47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47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47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47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47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47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47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47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47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47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M177" t="s">
        <v>22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47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  <c r="K178" t="s">
        <v>21</v>
      </c>
      <c r="L178" t="s">
        <v>17</v>
      </c>
      <c r="M178" t="s">
        <v>23</v>
      </c>
      <c r="O178" t="s">
        <v>18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47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47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47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47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47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47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47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47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47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47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47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47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47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47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47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47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47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  <c r="N195" t="s">
        <v>23</v>
      </c>
      <c r="O195" t="s">
        <v>21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47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  <c r="L196" t="s">
        <v>18</v>
      </c>
      <c r="M196" t="s">
        <v>26</v>
      </c>
      <c r="N196" t="s">
        <v>24</v>
      </c>
      <c r="O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47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47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47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47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47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47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47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47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47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47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47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47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47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47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47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47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47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  <c r="K213" t="s">
        <v>20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47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47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47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47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47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47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47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47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47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47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47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47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47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47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47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47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47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47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47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47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47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47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47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47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47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47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47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47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47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47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47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47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47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47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K247" t="s">
        <v>25</v>
      </c>
      <c r="L247" t="s">
        <v>20</v>
      </c>
      <c r="M247" t="s">
        <v>19</v>
      </c>
      <c r="N247" t="s">
        <v>23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47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  <c r="K248" t="s">
        <v>24</v>
      </c>
      <c r="L248" t="s">
        <v>26</v>
      </c>
      <c r="N248" t="s">
        <v>25</v>
      </c>
      <c r="O248" t="s">
        <v>20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47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47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47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47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47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47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47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47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47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47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47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47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47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47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47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47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  <c r="O264" t="s">
        <v>19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47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L265" t="s">
        <v>22</v>
      </c>
      <c r="M265" t="s">
        <v>20</v>
      </c>
      <c r="N265" t="s">
        <v>25</v>
      </c>
      <c r="O265" t="s">
        <v>18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47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47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47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47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47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47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47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47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47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47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47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47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47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47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47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47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L281" t="s">
        <v>17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47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L282" t="s">
        <v>21</v>
      </c>
      <c r="N282" t="s">
        <v>25</v>
      </c>
      <c r="O282" t="s">
        <v>19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47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  <c r="L283" t="s">
        <v>25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47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47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47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47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47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47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47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47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47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47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47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47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47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47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47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N298" t="s">
        <v>23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47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47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47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47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47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47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0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47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0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47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0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47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0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47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0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47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0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47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0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47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0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47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0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47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0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47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0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47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0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47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0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47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</row>
    <row r="318" spans="1:10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47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0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47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0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47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47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47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47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47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47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47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47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47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47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47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47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47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47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47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47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47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47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2ECF-C125-CB43-90B2-28B9FFC8D810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48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48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48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48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48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48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48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48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48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48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48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48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48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48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48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48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48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48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L19" t="s">
        <v>26</v>
      </c>
      <c r="N19" t="s">
        <v>21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48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48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  <c r="K21" t="s">
        <v>20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48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48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48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48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48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48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48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48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48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48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48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48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48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48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48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48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N37" t="s">
        <v>18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48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L38" t="s">
        <v>26</v>
      </c>
      <c r="M38" t="s">
        <v>23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48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48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48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48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48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48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48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48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48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48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48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48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48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48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48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48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48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48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48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48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48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48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48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48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48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48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48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48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48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48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48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48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48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48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48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48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48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48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48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48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48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48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48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48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48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48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48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48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48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48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48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48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48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48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48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48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48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48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48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48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48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48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48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48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48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48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48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48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48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N107" t="s">
        <v>20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48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48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48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48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48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48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48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48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48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48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48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48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48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48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48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48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48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48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48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48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48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48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48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48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48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48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48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48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48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48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48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48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48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48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48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  <c r="O142" t="s">
        <v>22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48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  <c r="K143" t="s">
        <v>17</v>
      </c>
      <c r="N143" t="s">
        <v>20</v>
      </c>
      <c r="O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48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48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48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48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48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48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48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48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48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48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48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48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48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48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48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48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48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48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K161" t="s">
        <v>18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48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48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48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48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48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48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48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48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48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48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48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48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48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48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48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48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L177" t="s">
        <v>24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48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48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48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48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48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48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48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48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48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48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48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48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48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48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48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48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48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M194" t="s">
        <v>24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48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48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48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48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48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48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48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48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48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48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48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48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48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48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48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48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48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48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48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48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48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48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48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48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48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48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48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48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48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48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48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48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48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48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48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48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48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48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48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48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48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48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48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48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48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48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48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48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48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48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48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48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48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K247" t="s">
        <v>25</v>
      </c>
      <c r="L247" t="s">
        <v>20</v>
      </c>
      <c r="M247" t="s">
        <v>19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48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  <c r="K248" t="s">
        <v>24</v>
      </c>
      <c r="L248" t="s">
        <v>26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48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48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48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48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48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48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48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48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48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48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48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48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48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48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48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48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N264" t="s">
        <v>22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48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M265" t="s">
        <v>20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48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48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48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48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48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48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48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48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48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48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48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48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48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48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48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48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48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L282" t="s">
        <v>21</v>
      </c>
      <c r="M282" t="s">
        <v>18</v>
      </c>
      <c r="N282" t="s">
        <v>25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48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48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48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48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48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48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48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48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48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48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48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48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48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48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48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48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N298" t="s">
        <v>23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48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  <c r="K299" t="s">
        <v>24</v>
      </c>
      <c r="L299" t="s">
        <v>23</v>
      </c>
      <c r="M299" t="s">
        <v>18</v>
      </c>
      <c r="N299" t="s">
        <v>20</v>
      </c>
      <c r="O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48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  <c r="K300" t="s">
        <v>23</v>
      </c>
      <c r="L300" t="s">
        <v>26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48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48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48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48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0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48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0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48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0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48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0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48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0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48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0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48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0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48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0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48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0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48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0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48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0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48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0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48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0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48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</row>
    <row r="318" spans="1:10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48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0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48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0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48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48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48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48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48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48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48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48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48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48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48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48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48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48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48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48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48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48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929E-E81B-8F4E-85F1-0C22C67A06F2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49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49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49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49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49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49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49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49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49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49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49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49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49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49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49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49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49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49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K19" t="s">
        <v>24</v>
      </c>
      <c r="L19" t="s">
        <v>26</v>
      </c>
      <c r="M19" t="s">
        <v>22</v>
      </c>
      <c r="O19" t="s">
        <v>23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49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49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  <c r="K21" t="s">
        <v>20</v>
      </c>
      <c r="L21" t="s">
        <v>25</v>
      </c>
      <c r="M21" t="s">
        <v>26</v>
      </c>
      <c r="N21" t="s">
        <v>21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49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49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49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49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49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49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49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49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49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49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49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49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49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49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49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49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O37" t="s">
        <v>24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49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K38" t="s">
        <v>20</v>
      </c>
      <c r="L38" t="s">
        <v>26</v>
      </c>
      <c r="M38" t="s">
        <v>23</v>
      </c>
      <c r="N38" t="s">
        <v>18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49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49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49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49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49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49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49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49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49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49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49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49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49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49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49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49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  <c r="O54" t="s">
        <v>25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49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  <c r="K55" t="s">
        <v>20</v>
      </c>
      <c r="M55" t="s">
        <v>24</v>
      </c>
      <c r="N55" t="s">
        <v>22</v>
      </c>
      <c r="O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49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  <c r="L56" t="s">
        <v>19</v>
      </c>
      <c r="M56" t="s">
        <v>20</v>
      </c>
      <c r="N56" t="s">
        <v>24</v>
      </c>
      <c r="O56" t="s">
        <v>25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49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49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49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49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49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49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49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49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49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49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49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49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49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49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49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49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49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  <c r="K73" t="s">
        <v>17</v>
      </c>
      <c r="M73" t="s">
        <v>21</v>
      </c>
      <c r="N73" t="s">
        <v>25</v>
      </c>
      <c r="O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49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49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49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49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49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49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49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49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49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49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49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49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49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49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49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49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49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49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49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49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49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49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49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4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49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4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49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4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49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4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49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4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49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4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49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4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49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4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49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4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49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4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49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4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49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N107" t="s">
        <v>20</v>
      </c>
    </row>
    <row r="108" spans="1:14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49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4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49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4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49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4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49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4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49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49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49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49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49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49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49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49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49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49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49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49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49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49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49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49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49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49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49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49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49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49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49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49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49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49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49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49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49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49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L141" t="s">
        <v>22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49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K142" t="s">
        <v>21</v>
      </c>
      <c r="L142" t="s">
        <v>26</v>
      </c>
      <c r="M142" t="s">
        <v>17</v>
      </c>
      <c r="N142" t="s">
        <v>23</v>
      </c>
      <c r="O142" t="s">
        <v>22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49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  <c r="K143" t="s">
        <v>17</v>
      </c>
      <c r="L143" t="s">
        <v>19</v>
      </c>
      <c r="M143" t="s">
        <v>23</v>
      </c>
      <c r="O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49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49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49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49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49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49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49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49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49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49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49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49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49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49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49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49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49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  <c r="O160" t="s">
        <v>25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49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O161" t="s">
        <v>19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49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49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49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49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49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49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49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49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49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49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49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49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49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49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49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49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M177" t="s">
        <v>22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49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  <c r="N178" t="s">
        <v>24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49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49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49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49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49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49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49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49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49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49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49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49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49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49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49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49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49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49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  <c r="L196" t="s">
        <v>18</v>
      </c>
      <c r="M196" t="s">
        <v>26</v>
      </c>
      <c r="N196" t="s">
        <v>24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49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49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49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49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49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49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49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49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49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49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49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49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49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49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49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49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49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  <c r="K213" t="s">
        <v>20</v>
      </c>
      <c r="O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49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49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49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49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49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49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49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49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49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49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49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49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49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49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49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49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49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49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49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49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49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49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49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49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49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49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49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49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49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49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49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49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49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49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K247" t="s">
        <v>25</v>
      </c>
      <c r="L247" t="s">
        <v>20</v>
      </c>
      <c r="M247" t="s">
        <v>19</v>
      </c>
      <c r="N247" t="s">
        <v>23</v>
      </c>
      <c r="O247" t="s">
        <v>22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49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  <c r="K248" t="s">
        <v>24</v>
      </c>
      <c r="L248" t="s">
        <v>26</v>
      </c>
      <c r="N248" t="s">
        <v>25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49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49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49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49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49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49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49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49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49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49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49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49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49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49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49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49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  <c r="O264" t="s">
        <v>19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49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L265" t="s">
        <v>22</v>
      </c>
      <c r="M265" t="s">
        <v>20</v>
      </c>
      <c r="N265" t="s">
        <v>25</v>
      </c>
      <c r="O265" t="s">
        <v>18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49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  <c r="K266" t="s">
        <v>25</v>
      </c>
      <c r="M266" t="s">
        <v>26</v>
      </c>
      <c r="N266" t="s">
        <v>23</v>
      </c>
      <c r="O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49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49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49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49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49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49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49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49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49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49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49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49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49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49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49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49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N282" t="s">
        <v>25</v>
      </c>
      <c r="O282" t="s">
        <v>19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49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49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49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49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49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49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49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49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49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49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49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49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49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49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49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49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49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  <c r="K299" t="s">
        <v>24</v>
      </c>
      <c r="L299" t="s">
        <v>23</v>
      </c>
      <c r="M299" t="s">
        <v>18</v>
      </c>
      <c r="N299" t="s">
        <v>20</v>
      </c>
      <c r="O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49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  <c r="K300" t="s">
        <v>23</v>
      </c>
      <c r="L300" t="s">
        <v>26</v>
      </c>
      <c r="N300" t="s">
        <v>22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49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49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49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49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0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49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0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49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0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49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0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49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0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49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0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49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0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49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0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49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0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49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0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49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0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49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0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49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0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49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</row>
    <row r="318" spans="1:10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49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0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49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0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49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49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49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49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49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49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49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49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49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49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49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49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49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49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49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49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49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49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D97D-70A3-264B-B7C7-A7431A4B8BEC}">
  <dimension ref="A1:O337"/>
  <sheetViews>
    <sheetView workbookViewId="0">
      <selection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</v>
      </c>
      <c r="D2">
        <v>1.7</v>
      </c>
      <c r="E2" t="s">
        <v>50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B3">
        <v>1</v>
      </c>
      <c r="C3">
        <v>1</v>
      </c>
      <c r="D3">
        <v>1.6</v>
      </c>
      <c r="E3" t="s">
        <v>50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B4">
        <v>1</v>
      </c>
      <c r="C4">
        <v>1</v>
      </c>
      <c r="D4">
        <v>1.5</v>
      </c>
      <c r="E4" t="s">
        <v>50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B5">
        <v>1</v>
      </c>
      <c r="C5">
        <v>1</v>
      </c>
      <c r="D5">
        <v>1.4</v>
      </c>
      <c r="E5" t="s">
        <v>50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B6">
        <v>1</v>
      </c>
      <c r="C6">
        <v>1</v>
      </c>
      <c r="D6">
        <v>1.3</v>
      </c>
      <c r="E6" t="s">
        <v>50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B7">
        <v>1</v>
      </c>
      <c r="C7">
        <v>1</v>
      </c>
      <c r="D7">
        <v>1.2</v>
      </c>
      <c r="E7" t="s">
        <v>50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B8">
        <v>1</v>
      </c>
      <c r="C8">
        <v>1</v>
      </c>
      <c r="D8">
        <v>1.1000000000000001</v>
      </c>
      <c r="E8" t="s">
        <v>50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B9">
        <v>1</v>
      </c>
      <c r="C9">
        <v>1</v>
      </c>
      <c r="D9">
        <v>1</v>
      </c>
      <c r="E9" t="s">
        <v>50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B10">
        <v>1</v>
      </c>
      <c r="C10">
        <v>1</v>
      </c>
      <c r="D10">
        <v>0.90000000000000102</v>
      </c>
      <c r="E10" t="s">
        <v>50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B11">
        <v>1</v>
      </c>
      <c r="C11">
        <v>1</v>
      </c>
      <c r="D11">
        <v>0.80000000000000104</v>
      </c>
      <c r="E11" t="s">
        <v>50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B12">
        <v>1</v>
      </c>
      <c r="C12">
        <v>1</v>
      </c>
      <c r="D12">
        <v>0.70000000000000095</v>
      </c>
      <c r="E12" t="s">
        <v>50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B13">
        <v>1</v>
      </c>
      <c r="C13">
        <v>1</v>
      </c>
      <c r="D13">
        <v>0.6</v>
      </c>
      <c r="E13" t="s">
        <v>50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B14">
        <v>1</v>
      </c>
      <c r="C14">
        <v>1</v>
      </c>
      <c r="D14">
        <v>0.5</v>
      </c>
      <c r="E14" t="s">
        <v>50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B15">
        <v>1</v>
      </c>
      <c r="C15">
        <v>1</v>
      </c>
      <c r="D15">
        <v>0.4</v>
      </c>
      <c r="E15" t="s">
        <v>50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B16">
        <v>1</v>
      </c>
      <c r="C16">
        <v>1</v>
      </c>
      <c r="D16">
        <v>0.3</v>
      </c>
      <c r="E16" t="s">
        <v>50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B17">
        <v>1</v>
      </c>
      <c r="C17">
        <v>1</v>
      </c>
      <c r="D17">
        <v>0.2</v>
      </c>
      <c r="E17" t="s">
        <v>50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N17" t="s">
        <v>18</v>
      </c>
      <c r="O17" t="s">
        <v>25</v>
      </c>
    </row>
    <row r="18" spans="1:15">
      <c r="A18" t="s">
        <v>15</v>
      </c>
      <c r="B18">
        <v>1</v>
      </c>
      <c r="C18">
        <v>1</v>
      </c>
      <c r="D18">
        <v>9.9999999999999895E-2</v>
      </c>
      <c r="E18" t="s">
        <v>50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B19">
        <v>1</v>
      </c>
      <c r="C19">
        <v>1</v>
      </c>
      <c r="D19">
        <v>0</v>
      </c>
      <c r="E19" t="s">
        <v>50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M19" t="s">
        <v>22</v>
      </c>
    </row>
    <row r="20" spans="1:15">
      <c r="A20" t="s">
        <v>15</v>
      </c>
      <c r="B20">
        <v>1</v>
      </c>
      <c r="C20">
        <v>1</v>
      </c>
      <c r="D20">
        <v>-0.1</v>
      </c>
      <c r="E20" t="s">
        <v>50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</row>
    <row r="21" spans="1:15">
      <c r="A21" t="s">
        <v>15</v>
      </c>
      <c r="B21">
        <v>1</v>
      </c>
      <c r="C21">
        <v>1</v>
      </c>
      <c r="D21">
        <v>-0.2</v>
      </c>
      <c r="E21" t="s">
        <v>50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B22">
        <v>1</v>
      </c>
      <c r="C22">
        <v>1</v>
      </c>
      <c r="D22">
        <v>-0.3</v>
      </c>
      <c r="E22" t="s">
        <v>50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B23">
        <f>1/3.48</f>
        <v>0.28735632183908044</v>
      </c>
      <c r="C23">
        <f>1/3.48</f>
        <v>0.28735632183908044</v>
      </c>
      <c r="D23">
        <v>1.7</v>
      </c>
      <c r="E23" t="s">
        <v>50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50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50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50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50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50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50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50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50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50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50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50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50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50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O36" t="s">
        <v>21</v>
      </c>
    </row>
    <row r="37" spans="1:15">
      <c r="A37" t="s">
        <v>27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50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M37" t="s">
        <v>23</v>
      </c>
    </row>
    <row r="38" spans="1:15">
      <c r="A38" t="s">
        <v>27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50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</row>
    <row r="39" spans="1:15">
      <c r="A39" t="s">
        <v>27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50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50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50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50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50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B44">
        <f>1/6.4</f>
        <v>0.15625</v>
      </c>
      <c r="C44">
        <f>1/6.4</f>
        <v>0.15625</v>
      </c>
      <c r="D44">
        <v>1.7</v>
      </c>
      <c r="E44" t="s">
        <v>50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50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B46">
        <f t="shared" si="1"/>
        <v>0.15625</v>
      </c>
      <c r="C46">
        <f t="shared" si="1"/>
        <v>0.15625</v>
      </c>
      <c r="D46">
        <v>1.5</v>
      </c>
      <c r="E46" t="s">
        <v>50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B47">
        <f t="shared" si="1"/>
        <v>0.15625</v>
      </c>
      <c r="C47">
        <f t="shared" si="1"/>
        <v>0.15625</v>
      </c>
      <c r="D47">
        <v>1.4</v>
      </c>
      <c r="E47" t="s">
        <v>50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B48">
        <f t="shared" si="1"/>
        <v>0.15625</v>
      </c>
      <c r="C48">
        <f t="shared" si="1"/>
        <v>0.15625</v>
      </c>
      <c r="D48">
        <v>1.3</v>
      </c>
      <c r="E48" t="s">
        <v>50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B49">
        <f t="shared" si="1"/>
        <v>0.15625</v>
      </c>
      <c r="C49">
        <f t="shared" si="1"/>
        <v>0.15625</v>
      </c>
      <c r="D49">
        <v>1.2</v>
      </c>
      <c r="E49" t="s">
        <v>50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50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B51">
        <f t="shared" si="1"/>
        <v>0.15625</v>
      </c>
      <c r="C51">
        <f t="shared" si="1"/>
        <v>0.15625</v>
      </c>
      <c r="D51">
        <v>1</v>
      </c>
      <c r="E51" t="s">
        <v>50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50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50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50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M54" t="s">
        <v>22</v>
      </c>
      <c r="N54" t="s">
        <v>17</v>
      </c>
    </row>
    <row r="55" spans="1:15">
      <c r="A55" t="s">
        <v>28</v>
      </c>
      <c r="B55">
        <f t="shared" si="1"/>
        <v>0.15625</v>
      </c>
      <c r="C55">
        <f t="shared" si="1"/>
        <v>0.15625</v>
      </c>
      <c r="D55">
        <v>0.6</v>
      </c>
      <c r="E55" t="s">
        <v>50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</row>
    <row r="56" spans="1:15">
      <c r="A56" t="s">
        <v>28</v>
      </c>
      <c r="B56">
        <f t="shared" si="1"/>
        <v>0.15625</v>
      </c>
      <c r="C56">
        <f t="shared" si="1"/>
        <v>0.15625</v>
      </c>
      <c r="D56">
        <v>0.5</v>
      </c>
      <c r="E56" t="s">
        <v>50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B57">
        <f t="shared" si="1"/>
        <v>0.15625</v>
      </c>
      <c r="C57">
        <f t="shared" si="1"/>
        <v>0.15625</v>
      </c>
      <c r="D57">
        <v>0.4</v>
      </c>
      <c r="E57" t="s">
        <v>50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B58">
        <f t="shared" si="1"/>
        <v>0.15625</v>
      </c>
      <c r="C58">
        <f t="shared" si="1"/>
        <v>0.15625</v>
      </c>
      <c r="D58">
        <v>0.3</v>
      </c>
      <c r="E58" t="s">
        <v>50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B59">
        <f t="shared" si="1"/>
        <v>0.15625</v>
      </c>
      <c r="C59">
        <f t="shared" si="1"/>
        <v>0.15625</v>
      </c>
      <c r="D59">
        <v>0.2</v>
      </c>
      <c r="E59" t="s">
        <v>50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50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B61">
        <f t="shared" si="1"/>
        <v>0.15625</v>
      </c>
      <c r="C61">
        <f t="shared" si="1"/>
        <v>0.15625</v>
      </c>
      <c r="D61">
        <v>0</v>
      </c>
      <c r="E61" t="s">
        <v>50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B62">
        <f t="shared" si="1"/>
        <v>0.15625</v>
      </c>
      <c r="C62">
        <f t="shared" si="1"/>
        <v>0.15625</v>
      </c>
      <c r="D62">
        <v>-0.1</v>
      </c>
      <c r="E62" t="s">
        <v>50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B63">
        <f t="shared" si="1"/>
        <v>0.15625</v>
      </c>
      <c r="C63">
        <f t="shared" si="1"/>
        <v>0.15625</v>
      </c>
      <c r="D63">
        <v>-0.2</v>
      </c>
      <c r="E63" t="s">
        <v>50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B64">
        <f t="shared" si="1"/>
        <v>0.15625</v>
      </c>
      <c r="C64">
        <f t="shared" si="1"/>
        <v>0.15625</v>
      </c>
      <c r="D64">
        <v>-0.3</v>
      </c>
      <c r="E64" t="s">
        <v>50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B65">
        <f>1/11.65</f>
        <v>8.5836909871244635E-2</v>
      </c>
      <c r="C65">
        <f>1/11.65</f>
        <v>8.5836909871244635E-2</v>
      </c>
      <c r="D65">
        <v>1.7</v>
      </c>
      <c r="E65" t="s">
        <v>50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50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50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50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50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50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50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50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50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</row>
    <row r="74" spans="1:15">
      <c r="A74" t="s">
        <v>29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50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50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50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50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50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50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50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50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50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50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50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50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B86">
        <f>1/20.9</f>
        <v>4.784688995215311E-2</v>
      </c>
      <c r="C86">
        <f>1/20.9</f>
        <v>4.784688995215311E-2</v>
      </c>
      <c r="D86">
        <v>1.7</v>
      </c>
      <c r="E86" t="s">
        <v>50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50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50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L88" t="s">
        <v>21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50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</row>
    <row r="90" spans="1:15">
      <c r="A90" t="s">
        <v>30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50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</row>
    <row r="91" spans="1:15">
      <c r="A91" t="s">
        <v>30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50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50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50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50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50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50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50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50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50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50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50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50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50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50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50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B106">
        <f>1/20.9</f>
        <v>4.784688995215311E-2</v>
      </c>
      <c r="C106">
        <f>1/20.9</f>
        <v>4.784688995215311E-2</v>
      </c>
      <c r="D106">
        <v>-0.3</v>
      </c>
      <c r="E106" t="s">
        <v>50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50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N107" t="s">
        <v>20</v>
      </c>
      <c r="O107" t="s">
        <v>24</v>
      </c>
    </row>
    <row r="108" spans="1:15">
      <c r="A108" t="s">
        <v>31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50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50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50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50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50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50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50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50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50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50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50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50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50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50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50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50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50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50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50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50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32</v>
      </c>
      <c r="B128">
        <f>1/(1.87*2)</f>
        <v>0.26737967914438499</v>
      </c>
      <c r="C128">
        <f>1/1.87</f>
        <v>0.53475935828876997</v>
      </c>
      <c r="D128">
        <v>1.7</v>
      </c>
      <c r="E128" t="s">
        <v>50</v>
      </c>
      <c r="F128" t="s">
        <v>20</v>
      </c>
      <c r="G128" t="s">
        <v>24</v>
      </c>
      <c r="H128" t="s">
        <v>19</v>
      </c>
      <c r="I128" t="s">
        <v>17</v>
      </c>
      <c r="J128" t="s">
        <v>23</v>
      </c>
      <c r="K128" t="s">
        <v>20</v>
      </c>
      <c r="L128" t="s">
        <v>24</v>
      </c>
      <c r="M128" t="s">
        <v>19</v>
      </c>
      <c r="N128" t="s">
        <v>17</v>
      </c>
      <c r="O128" t="s">
        <v>23</v>
      </c>
    </row>
    <row r="129" spans="1:15">
      <c r="A129" t="s">
        <v>32</v>
      </c>
      <c r="B129">
        <f t="shared" ref="B129:B148" si="5">1/(1.87*2)</f>
        <v>0.26737967914438499</v>
      </c>
      <c r="C129">
        <f t="shared" ref="C129:C148" si="6">1/1.87</f>
        <v>0.53475935828876997</v>
      </c>
      <c r="D129">
        <v>1.6</v>
      </c>
      <c r="E129" t="s">
        <v>50</v>
      </c>
      <c r="F129" t="s">
        <v>25</v>
      </c>
      <c r="G129" t="s">
        <v>18</v>
      </c>
      <c r="H129" t="s">
        <v>22</v>
      </c>
      <c r="I129" t="s">
        <v>20</v>
      </c>
      <c r="J129" t="s">
        <v>17</v>
      </c>
      <c r="K129" t="s">
        <v>25</v>
      </c>
      <c r="L129" t="s">
        <v>18</v>
      </c>
      <c r="M129" t="s">
        <v>22</v>
      </c>
      <c r="N129" t="s">
        <v>20</v>
      </c>
      <c r="O129" t="s">
        <v>17</v>
      </c>
    </row>
    <row r="130" spans="1:15">
      <c r="A130" t="s">
        <v>32</v>
      </c>
      <c r="B130">
        <f t="shared" si="5"/>
        <v>0.26737967914438499</v>
      </c>
      <c r="C130">
        <f t="shared" si="6"/>
        <v>0.53475935828876997</v>
      </c>
      <c r="D130">
        <v>1.5</v>
      </c>
      <c r="E130" t="s">
        <v>50</v>
      </c>
      <c r="F130" t="s">
        <v>20</v>
      </c>
      <c r="G130" t="s">
        <v>18</v>
      </c>
      <c r="H130" t="s">
        <v>22</v>
      </c>
      <c r="I130" t="s">
        <v>26</v>
      </c>
      <c r="J130" t="s">
        <v>17</v>
      </c>
      <c r="K130" t="s">
        <v>20</v>
      </c>
      <c r="L130" t="s">
        <v>18</v>
      </c>
      <c r="M130" t="s">
        <v>22</v>
      </c>
      <c r="N130" t="s">
        <v>26</v>
      </c>
      <c r="O130" t="s">
        <v>17</v>
      </c>
    </row>
    <row r="131" spans="1:15">
      <c r="A131" t="s">
        <v>32</v>
      </c>
      <c r="B131">
        <f t="shared" si="5"/>
        <v>0.26737967914438499</v>
      </c>
      <c r="C131">
        <f t="shared" si="6"/>
        <v>0.53475935828876997</v>
      </c>
      <c r="D131">
        <v>1.4</v>
      </c>
      <c r="E131" t="s">
        <v>50</v>
      </c>
      <c r="F131" t="s">
        <v>24</v>
      </c>
      <c r="G131" t="s">
        <v>19</v>
      </c>
      <c r="H131" t="s">
        <v>20</v>
      </c>
      <c r="I131" t="s">
        <v>21</v>
      </c>
      <c r="J131" t="s">
        <v>17</v>
      </c>
      <c r="K131" t="s">
        <v>24</v>
      </c>
      <c r="L131" t="s">
        <v>19</v>
      </c>
      <c r="M131" t="s">
        <v>20</v>
      </c>
      <c r="N131" t="s">
        <v>21</v>
      </c>
      <c r="O131" t="s">
        <v>17</v>
      </c>
    </row>
    <row r="132" spans="1:15">
      <c r="A132" t="s">
        <v>32</v>
      </c>
      <c r="B132">
        <f t="shared" si="5"/>
        <v>0.26737967914438499</v>
      </c>
      <c r="C132">
        <f t="shared" si="6"/>
        <v>0.53475935828876997</v>
      </c>
      <c r="D132">
        <v>1.3</v>
      </c>
      <c r="E132" t="s">
        <v>50</v>
      </c>
      <c r="F132" t="s">
        <v>20</v>
      </c>
      <c r="G132" t="s">
        <v>24</v>
      </c>
      <c r="H132" t="s">
        <v>19</v>
      </c>
      <c r="I132" t="s">
        <v>23</v>
      </c>
      <c r="J132" t="s">
        <v>22</v>
      </c>
      <c r="K132" t="s">
        <v>20</v>
      </c>
      <c r="L132" t="s">
        <v>24</v>
      </c>
      <c r="M132" t="s">
        <v>19</v>
      </c>
      <c r="N132" t="s">
        <v>23</v>
      </c>
      <c r="O132" t="s">
        <v>22</v>
      </c>
    </row>
    <row r="133" spans="1:15">
      <c r="A133" t="s">
        <v>32</v>
      </c>
      <c r="B133">
        <f t="shared" si="5"/>
        <v>0.26737967914438499</v>
      </c>
      <c r="C133">
        <f t="shared" si="6"/>
        <v>0.53475935828876997</v>
      </c>
      <c r="D133">
        <v>1.2</v>
      </c>
      <c r="E133" t="s">
        <v>50</v>
      </c>
      <c r="F133" t="s">
        <v>24</v>
      </c>
      <c r="G133" t="s">
        <v>22</v>
      </c>
      <c r="H133" t="s">
        <v>17</v>
      </c>
      <c r="I133" t="s">
        <v>18</v>
      </c>
      <c r="J133" t="s">
        <v>19</v>
      </c>
      <c r="K133" t="s">
        <v>24</v>
      </c>
      <c r="L133" t="s">
        <v>22</v>
      </c>
      <c r="M133" t="s">
        <v>17</v>
      </c>
      <c r="N133" t="s">
        <v>18</v>
      </c>
      <c r="O133" t="s">
        <v>19</v>
      </c>
    </row>
    <row r="134" spans="1:15">
      <c r="A134" t="s">
        <v>32</v>
      </c>
      <c r="B134">
        <f t="shared" si="5"/>
        <v>0.26737967914438499</v>
      </c>
      <c r="C134">
        <f t="shared" si="6"/>
        <v>0.53475935828876997</v>
      </c>
      <c r="D134">
        <v>1.1000000000000001</v>
      </c>
      <c r="E134" t="s">
        <v>50</v>
      </c>
      <c r="F134" t="s">
        <v>19</v>
      </c>
      <c r="G134" t="s">
        <v>25</v>
      </c>
      <c r="H134" t="s">
        <v>26</v>
      </c>
      <c r="I134" t="s">
        <v>24</v>
      </c>
      <c r="J134" t="s">
        <v>21</v>
      </c>
      <c r="K134" t="s">
        <v>19</v>
      </c>
      <c r="L134" t="s">
        <v>25</v>
      </c>
      <c r="M134" t="s">
        <v>26</v>
      </c>
      <c r="N134" t="s">
        <v>24</v>
      </c>
      <c r="O134" t="s">
        <v>21</v>
      </c>
    </row>
    <row r="135" spans="1:15">
      <c r="A135" t="s">
        <v>32</v>
      </c>
      <c r="B135">
        <f t="shared" si="5"/>
        <v>0.26737967914438499</v>
      </c>
      <c r="C135">
        <f t="shared" si="6"/>
        <v>0.53475935828876997</v>
      </c>
      <c r="D135">
        <v>1</v>
      </c>
      <c r="E135" t="s">
        <v>50</v>
      </c>
      <c r="F135" t="s">
        <v>18</v>
      </c>
      <c r="G135" t="s">
        <v>22</v>
      </c>
      <c r="H135" t="s">
        <v>17</v>
      </c>
      <c r="I135" t="s">
        <v>21</v>
      </c>
      <c r="J135" t="s">
        <v>24</v>
      </c>
      <c r="K135" t="s">
        <v>18</v>
      </c>
      <c r="L135" t="s">
        <v>22</v>
      </c>
      <c r="M135" t="s">
        <v>17</v>
      </c>
      <c r="N135" t="s">
        <v>21</v>
      </c>
      <c r="O135" t="s">
        <v>24</v>
      </c>
    </row>
    <row r="136" spans="1:15">
      <c r="A136" t="s">
        <v>32</v>
      </c>
      <c r="B136">
        <f t="shared" si="5"/>
        <v>0.26737967914438499</v>
      </c>
      <c r="C136">
        <f t="shared" si="6"/>
        <v>0.53475935828876997</v>
      </c>
      <c r="D136">
        <v>0.90000000000000102</v>
      </c>
      <c r="E136" t="s">
        <v>50</v>
      </c>
      <c r="F136" t="s">
        <v>18</v>
      </c>
      <c r="G136" t="s">
        <v>23</v>
      </c>
      <c r="H136" t="s">
        <v>20</v>
      </c>
      <c r="I136" t="s">
        <v>21</v>
      </c>
      <c r="J136" t="s">
        <v>19</v>
      </c>
      <c r="K136" t="s">
        <v>18</v>
      </c>
      <c r="L136" t="s">
        <v>23</v>
      </c>
      <c r="M136" t="s">
        <v>20</v>
      </c>
      <c r="N136" t="s">
        <v>21</v>
      </c>
      <c r="O136" t="s">
        <v>19</v>
      </c>
    </row>
    <row r="137" spans="1:15">
      <c r="A137" t="s">
        <v>32</v>
      </c>
      <c r="B137">
        <f t="shared" si="5"/>
        <v>0.26737967914438499</v>
      </c>
      <c r="C137">
        <f t="shared" si="6"/>
        <v>0.53475935828876997</v>
      </c>
      <c r="D137">
        <v>0.80000000000000104</v>
      </c>
      <c r="E137" t="s">
        <v>50</v>
      </c>
      <c r="F137" t="s">
        <v>22</v>
      </c>
      <c r="G137" t="s">
        <v>24</v>
      </c>
      <c r="H137" t="s">
        <v>19</v>
      </c>
      <c r="I137" t="s">
        <v>20</v>
      </c>
      <c r="J137" t="s">
        <v>17</v>
      </c>
      <c r="K137" t="s">
        <v>22</v>
      </c>
      <c r="L137" t="s">
        <v>24</v>
      </c>
      <c r="M137" t="s">
        <v>19</v>
      </c>
      <c r="N137" t="s">
        <v>20</v>
      </c>
      <c r="O137" t="s">
        <v>17</v>
      </c>
    </row>
    <row r="138" spans="1:15">
      <c r="A138" t="s">
        <v>32</v>
      </c>
      <c r="B138">
        <f t="shared" si="5"/>
        <v>0.26737967914438499</v>
      </c>
      <c r="C138">
        <f t="shared" si="6"/>
        <v>0.53475935828876997</v>
      </c>
      <c r="D138">
        <v>0.70000000000000095</v>
      </c>
      <c r="E138" t="s">
        <v>50</v>
      </c>
      <c r="F138" t="s">
        <v>18</v>
      </c>
      <c r="G138" t="s">
        <v>20</v>
      </c>
      <c r="H138" t="s">
        <v>26</v>
      </c>
      <c r="I138" t="s">
        <v>21</v>
      </c>
      <c r="J138" t="s">
        <v>24</v>
      </c>
      <c r="K138" t="s">
        <v>18</v>
      </c>
      <c r="L138" t="s">
        <v>20</v>
      </c>
      <c r="M138" t="s">
        <v>26</v>
      </c>
      <c r="N138" t="s">
        <v>21</v>
      </c>
      <c r="O138" t="s">
        <v>24</v>
      </c>
    </row>
    <row r="139" spans="1:15">
      <c r="A139" t="s">
        <v>32</v>
      </c>
      <c r="B139">
        <f t="shared" si="5"/>
        <v>0.26737967914438499</v>
      </c>
      <c r="C139">
        <f t="shared" si="6"/>
        <v>0.53475935828876997</v>
      </c>
      <c r="D139">
        <v>0.6</v>
      </c>
      <c r="E139" t="s">
        <v>50</v>
      </c>
      <c r="F139" t="s">
        <v>25</v>
      </c>
      <c r="G139" t="s">
        <v>21</v>
      </c>
      <c r="H139" t="s">
        <v>19</v>
      </c>
      <c r="I139" t="s">
        <v>22</v>
      </c>
      <c r="J139" t="s">
        <v>18</v>
      </c>
      <c r="K139" t="s">
        <v>25</v>
      </c>
      <c r="L139" t="s">
        <v>21</v>
      </c>
      <c r="M139" t="s">
        <v>19</v>
      </c>
      <c r="N139" t="s">
        <v>22</v>
      </c>
      <c r="O139" t="s">
        <v>18</v>
      </c>
    </row>
    <row r="140" spans="1:15">
      <c r="A140" t="s">
        <v>32</v>
      </c>
      <c r="B140">
        <f t="shared" si="5"/>
        <v>0.26737967914438499</v>
      </c>
      <c r="C140">
        <f t="shared" si="6"/>
        <v>0.53475935828876997</v>
      </c>
      <c r="D140">
        <v>0.5</v>
      </c>
      <c r="E140" t="s">
        <v>50</v>
      </c>
      <c r="F140" t="s">
        <v>26</v>
      </c>
      <c r="G140" t="s">
        <v>23</v>
      </c>
      <c r="H140" t="s">
        <v>20</v>
      </c>
      <c r="I140" t="s">
        <v>18</v>
      </c>
      <c r="J140" t="s">
        <v>21</v>
      </c>
      <c r="K140" t="s">
        <v>26</v>
      </c>
      <c r="L140" t="s">
        <v>23</v>
      </c>
      <c r="M140" t="s">
        <v>20</v>
      </c>
      <c r="N140" t="s">
        <v>18</v>
      </c>
      <c r="O140" t="s">
        <v>21</v>
      </c>
    </row>
    <row r="141" spans="1:15">
      <c r="A141" t="s">
        <v>32</v>
      </c>
      <c r="B141">
        <f t="shared" si="5"/>
        <v>0.26737967914438499</v>
      </c>
      <c r="C141">
        <f t="shared" si="6"/>
        <v>0.53475935828876997</v>
      </c>
      <c r="D141">
        <v>0.4</v>
      </c>
      <c r="E141" t="s">
        <v>50</v>
      </c>
      <c r="F141" t="s">
        <v>25</v>
      </c>
      <c r="G141" t="s">
        <v>22</v>
      </c>
      <c r="H141" t="s">
        <v>18</v>
      </c>
      <c r="I141" t="s">
        <v>24</v>
      </c>
      <c r="J141" t="s">
        <v>20</v>
      </c>
      <c r="K141" t="s">
        <v>25</v>
      </c>
      <c r="M141" t="s">
        <v>18</v>
      </c>
      <c r="N141" t="s">
        <v>24</v>
      </c>
      <c r="O141" t="s">
        <v>20</v>
      </c>
    </row>
    <row r="142" spans="1:15">
      <c r="A142" t="s">
        <v>32</v>
      </c>
      <c r="B142">
        <f t="shared" si="5"/>
        <v>0.26737967914438499</v>
      </c>
      <c r="C142">
        <f t="shared" si="6"/>
        <v>0.53475935828876997</v>
      </c>
      <c r="D142">
        <v>0.3</v>
      </c>
      <c r="E142" t="s">
        <v>50</v>
      </c>
      <c r="F142" t="s">
        <v>21</v>
      </c>
      <c r="G142" t="s">
        <v>26</v>
      </c>
      <c r="H142" t="s">
        <v>17</v>
      </c>
      <c r="I142" t="s">
        <v>23</v>
      </c>
      <c r="J142" t="s">
        <v>22</v>
      </c>
      <c r="L142" t="s">
        <v>26</v>
      </c>
      <c r="M142" t="s">
        <v>17</v>
      </c>
      <c r="N142" t="s">
        <v>23</v>
      </c>
      <c r="O142" t="s">
        <v>22</v>
      </c>
    </row>
    <row r="143" spans="1:15">
      <c r="A143" t="s">
        <v>32</v>
      </c>
      <c r="B143">
        <f t="shared" si="5"/>
        <v>0.26737967914438499</v>
      </c>
      <c r="C143">
        <f t="shared" si="6"/>
        <v>0.53475935828876997</v>
      </c>
      <c r="D143">
        <v>0.2</v>
      </c>
      <c r="E143" t="s">
        <v>50</v>
      </c>
      <c r="F143" t="s">
        <v>17</v>
      </c>
      <c r="G143" t="s">
        <v>19</v>
      </c>
      <c r="H143" t="s">
        <v>23</v>
      </c>
      <c r="I143" t="s">
        <v>20</v>
      </c>
      <c r="J143" t="s">
        <v>24</v>
      </c>
    </row>
    <row r="144" spans="1:15">
      <c r="A144" t="s">
        <v>32</v>
      </c>
      <c r="B144">
        <f t="shared" si="5"/>
        <v>0.26737967914438499</v>
      </c>
      <c r="C144">
        <f t="shared" si="6"/>
        <v>0.53475935828876997</v>
      </c>
      <c r="D144">
        <v>9.9999999999999895E-2</v>
      </c>
      <c r="E144" t="s">
        <v>50</v>
      </c>
      <c r="F144" t="s">
        <v>20</v>
      </c>
      <c r="G144" t="s">
        <v>26</v>
      </c>
      <c r="H144" t="s">
        <v>18</v>
      </c>
      <c r="I144" t="s">
        <v>24</v>
      </c>
      <c r="J144" t="s">
        <v>17</v>
      </c>
    </row>
    <row r="145" spans="1:15">
      <c r="A145" t="s">
        <v>32</v>
      </c>
      <c r="B145">
        <f t="shared" si="5"/>
        <v>0.26737967914438499</v>
      </c>
      <c r="C145">
        <f t="shared" si="6"/>
        <v>0.53475935828876997</v>
      </c>
      <c r="D145">
        <v>0</v>
      </c>
      <c r="E145" t="s">
        <v>50</v>
      </c>
      <c r="F145" t="s">
        <v>21</v>
      </c>
      <c r="G145" t="s">
        <v>23</v>
      </c>
      <c r="H145" t="s">
        <v>18</v>
      </c>
      <c r="I145" t="s">
        <v>25</v>
      </c>
      <c r="J145" t="s">
        <v>17</v>
      </c>
    </row>
    <row r="146" spans="1:15">
      <c r="A146" t="s">
        <v>32</v>
      </c>
      <c r="B146">
        <f t="shared" si="5"/>
        <v>0.26737967914438499</v>
      </c>
      <c r="C146">
        <f t="shared" si="6"/>
        <v>0.53475935828876997</v>
      </c>
      <c r="D146">
        <v>-0.1</v>
      </c>
      <c r="E146" t="s">
        <v>50</v>
      </c>
      <c r="F146" t="s">
        <v>17</v>
      </c>
      <c r="G146" t="s">
        <v>21</v>
      </c>
      <c r="H146" t="s">
        <v>20</v>
      </c>
      <c r="I146" t="s">
        <v>24</v>
      </c>
      <c r="J146" t="s">
        <v>26</v>
      </c>
    </row>
    <row r="147" spans="1:15">
      <c r="A147" t="s">
        <v>32</v>
      </c>
      <c r="B147">
        <f t="shared" si="5"/>
        <v>0.26737967914438499</v>
      </c>
      <c r="C147">
        <f t="shared" si="6"/>
        <v>0.53475935828876997</v>
      </c>
      <c r="D147">
        <v>-0.2</v>
      </c>
      <c r="E147" t="s">
        <v>50</v>
      </c>
      <c r="F147" t="s">
        <v>21</v>
      </c>
      <c r="G147" t="s">
        <v>23</v>
      </c>
      <c r="H147" t="s">
        <v>18</v>
      </c>
      <c r="I147" t="s">
        <v>17</v>
      </c>
      <c r="J147" t="s">
        <v>24</v>
      </c>
    </row>
    <row r="148" spans="1:15">
      <c r="A148" t="s">
        <v>32</v>
      </c>
      <c r="B148">
        <f t="shared" si="5"/>
        <v>0.26737967914438499</v>
      </c>
      <c r="C148">
        <f t="shared" si="6"/>
        <v>0.53475935828876997</v>
      </c>
      <c r="D148">
        <v>-0.3</v>
      </c>
      <c r="E148" t="s">
        <v>50</v>
      </c>
      <c r="F148" t="s">
        <v>20</v>
      </c>
      <c r="G148" t="s">
        <v>17</v>
      </c>
      <c r="H148" t="s">
        <v>24</v>
      </c>
      <c r="I148" t="s">
        <v>26</v>
      </c>
      <c r="J148" t="s">
        <v>25</v>
      </c>
    </row>
    <row r="149" spans="1:15">
      <c r="A149" t="s">
        <v>33</v>
      </c>
      <c r="B149">
        <f>1/(3.48*2)</f>
        <v>0.14367816091954022</v>
      </c>
      <c r="C149">
        <f>1/3.48</f>
        <v>0.28735632183908044</v>
      </c>
      <c r="D149">
        <v>1.7</v>
      </c>
      <c r="E149" t="s">
        <v>50</v>
      </c>
      <c r="F149" t="s">
        <v>22</v>
      </c>
      <c r="G149" t="s">
        <v>26</v>
      </c>
      <c r="H149" t="s">
        <v>21</v>
      </c>
      <c r="I149" t="s">
        <v>20</v>
      </c>
      <c r="J149" t="s">
        <v>25</v>
      </c>
      <c r="K149" t="s">
        <v>22</v>
      </c>
      <c r="L149" t="s">
        <v>26</v>
      </c>
      <c r="M149" t="s">
        <v>21</v>
      </c>
      <c r="N149" t="s">
        <v>20</v>
      </c>
      <c r="O149" t="s">
        <v>25</v>
      </c>
    </row>
    <row r="150" spans="1:15">
      <c r="A150" t="s">
        <v>33</v>
      </c>
      <c r="B150">
        <f t="shared" ref="B150:B169" si="7">1/(3.48*2)</f>
        <v>0.14367816091954022</v>
      </c>
      <c r="C150">
        <f t="shared" ref="C150:C169" si="8">1/3.48</f>
        <v>0.28735632183908044</v>
      </c>
      <c r="D150">
        <v>1.6</v>
      </c>
      <c r="E150" t="s">
        <v>50</v>
      </c>
      <c r="F150" t="s">
        <v>25</v>
      </c>
      <c r="G150" t="s">
        <v>17</v>
      </c>
      <c r="H150" t="s">
        <v>20</v>
      </c>
      <c r="I150" t="s">
        <v>18</v>
      </c>
      <c r="J150" t="s">
        <v>22</v>
      </c>
      <c r="K150" t="s">
        <v>25</v>
      </c>
      <c r="L150" t="s">
        <v>17</v>
      </c>
      <c r="M150" t="s">
        <v>20</v>
      </c>
      <c r="N150" t="s">
        <v>18</v>
      </c>
      <c r="O150" t="s">
        <v>22</v>
      </c>
    </row>
    <row r="151" spans="1:15">
      <c r="A151" t="s">
        <v>33</v>
      </c>
      <c r="B151">
        <f t="shared" si="7"/>
        <v>0.14367816091954022</v>
      </c>
      <c r="C151">
        <f t="shared" si="8"/>
        <v>0.28735632183908044</v>
      </c>
      <c r="D151">
        <v>1.5</v>
      </c>
      <c r="E151" t="s">
        <v>50</v>
      </c>
      <c r="F151" t="s">
        <v>19</v>
      </c>
      <c r="G151" t="s">
        <v>22</v>
      </c>
      <c r="H151" t="s">
        <v>17</v>
      </c>
      <c r="I151" t="s">
        <v>24</v>
      </c>
      <c r="J151" t="s">
        <v>26</v>
      </c>
      <c r="K151" t="s">
        <v>19</v>
      </c>
      <c r="L151" t="s">
        <v>22</v>
      </c>
      <c r="M151" t="s">
        <v>17</v>
      </c>
      <c r="N151" t="s">
        <v>24</v>
      </c>
      <c r="O151" t="s">
        <v>26</v>
      </c>
    </row>
    <row r="152" spans="1:15">
      <c r="A152" t="s">
        <v>33</v>
      </c>
      <c r="B152">
        <f t="shared" si="7"/>
        <v>0.14367816091954022</v>
      </c>
      <c r="C152">
        <f t="shared" si="8"/>
        <v>0.28735632183908044</v>
      </c>
      <c r="D152">
        <v>1.4</v>
      </c>
      <c r="E152" t="s">
        <v>50</v>
      </c>
      <c r="F152" t="s">
        <v>22</v>
      </c>
      <c r="G152" t="s">
        <v>18</v>
      </c>
      <c r="H152" t="s">
        <v>17</v>
      </c>
      <c r="I152" t="s">
        <v>23</v>
      </c>
      <c r="J152" t="s">
        <v>25</v>
      </c>
      <c r="K152" t="s">
        <v>22</v>
      </c>
      <c r="L152" t="s">
        <v>18</v>
      </c>
      <c r="M152" t="s">
        <v>17</v>
      </c>
      <c r="N152" t="s">
        <v>23</v>
      </c>
      <c r="O152" t="s">
        <v>25</v>
      </c>
    </row>
    <row r="153" spans="1:15">
      <c r="A153" t="s">
        <v>33</v>
      </c>
      <c r="B153">
        <f t="shared" si="7"/>
        <v>0.14367816091954022</v>
      </c>
      <c r="C153">
        <f t="shared" si="8"/>
        <v>0.28735632183908044</v>
      </c>
      <c r="D153">
        <v>1.3</v>
      </c>
      <c r="E153" t="s">
        <v>50</v>
      </c>
      <c r="F153" t="s">
        <v>24</v>
      </c>
      <c r="G153" t="s">
        <v>21</v>
      </c>
      <c r="H153" t="s">
        <v>17</v>
      </c>
      <c r="I153" t="s">
        <v>25</v>
      </c>
      <c r="J153" t="s">
        <v>23</v>
      </c>
      <c r="K153" t="s">
        <v>24</v>
      </c>
      <c r="L153" t="s">
        <v>21</v>
      </c>
      <c r="M153" t="s">
        <v>17</v>
      </c>
      <c r="N153" t="s">
        <v>25</v>
      </c>
      <c r="O153" t="s">
        <v>23</v>
      </c>
    </row>
    <row r="154" spans="1:15">
      <c r="A154" t="s">
        <v>33</v>
      </c>
      <c r="B154">
        <f t="shared" si="7"/>
        <v>0.14367816091954022</v>
      </c>
      <c r="C154">
        <f t="shared" si="8"/>
        <v>0.28735632183908044</v>
      </c>
      <c r="D154">
        <v>1.2</v>
      </c>
      <c r="E154" t="s">
        <v>50</v>
      </c>
      <c r="F154" t="s">
        <v>19</v>
      </c>
      <c r="G154" t="s">
        <v>23</v>
      </c>
      <c r="H154" t="s">
        <v>17</v>
      </c>
      <c r="I154" t="s">
        <v>22</v>
      </c>
      <c r="J154" t="s">
        <v>21</v>
      </c>
      <c r="K154" t="s">
        <v>19</v>
      </c>
      <c r="L154" t="s">
        <v>23</v>
      </c>
      <c r="M154" t="s">
        <v>17</v>
      </c>
      <c r="N154" t="s">
        <v>22</v>
      </c>
      <c r="O154" t="s">
        <v>21</v>
      </c>
    </row>
    <row r="155" spans="1:15">
      <c r="A155" t="s">
        <v>33</v>
      </c>
      <c r="B155">
        <f t="shared" si="7"/>
        <v>0.14367816091954022</v>
      </c>
      <c r="C155">
        <f t="shared" si="8"/>
        <v>0.28735632183908044</v>
      </c>
      <c r="D155">
        <v>1.1000000000000001</v>
      </c>
      <c r="E155" t="s">
        <v>50</v>
      </c>
      <c r="F155" t="s">
        <v>25</v>
      </c>
      <c r="G155" t="s">
        <v>20</v>
      </c>
      <c r="H155" t="s">
        <v>21</v>
      </c>
      <c r="I155" t="s">
        <v>26</v>
      </c>
      <c r="J155" t="s">
        <v>23</v>
      </c>
      <c r="K155" t="s">
        <v>25</v>
      </c>
      <c r="L155" t="s">
        <v>20</v>
      </c>
      <c r="M155" t="s">
        <v>21</v>
      </c>
      <c r="N155" t="s">
        <v>26</v>
      </c>
      <c r="O155" t="s">
        <v>23</v>
      </c>
    </row>
    <row r="156" spans="1:15">
      <c r="A156" t="s">
        <v>33</v>
      </c>
      <c r="B156">
        <f t="shared" si="7"/>
        <v>0.14367816091954022</v>
      </c>
      <c r="C156">
        <f t="shared" si="8"/>
        <v>0.28735632183908044</v>
      </c>
      <c r="D156">
        <v>1</v>
      </c>
      <c r="E156" t="s">
        <v>50</v>
      </c>
      <c r="F156" t="s">
        <v>25</v>
      </c>
      <c r="G156" t="s">
        <v>21</v>
      </c>
      <c r="H156" t="s">
        <v>22</v>
      </c>
      <c r="I156" t="s">
        <v>19</v>
      </c>
      <c r="J156" t="s">
        <v>26</v>
      </c>
      <c r="K156" t="s">
        <v>25</v>
      </c>
      <c r="L156" t="s">
        <v>21</v>
      </c>
      <c r="M156" t="s">
        <v>22</v>
      </c>
      <c r="N156" t="s">
        <v>19</v>
      </c>
      <c r="O156" t="s">
        <v>26</v>
      </c>
    </row>
    <row r="157" spans="1:15">
      <c r="A157" t="s">
        <v>33</v>
      </c>
      <c r="B157">
        <f t="shared" si="7"/>
        <v>0.14367816091954022</v>
      </c>
      <c r="C157">
        <f t="shared" si="8"/>
        <v>0.28735632183908044</v>
      </c>
      <c r="D157">
        <v>0.90000000000000102</v>
      </c>
      <c r="E157" t="s">
        <v>50</v>
      </c>
      <c r="F157" t="s">
        <v>26</v>
      </c>
      <c r="G157" t="s">
        <v>21</v>
      </c>
      <c r="H157" t="s">
        <v>18</v>
      </c>
      <c r="I157" t="s">
        <v>22</v>
      </c>
      <c r="J157" t="s">
        <v>24</v>
      </c>
      <c r="K157" t="s">
        <v>26</v>
      </c>
      <c r="L157" t="s">
        <v>21</v>
      </c>
      <c r="M157" t="s">
        <v>18</v>
      </c>
      <c r="N157" t="s">
        <v>22</v>
      </c>
      <c r="O157" t="s">
        <v>24</v>
      </c>
    </row>
    <row r="158" spans="1:15">
      <c r="A158" t="s">
        <v>33</v>
      </c>
      <c r="B158">
        <f t="shared" si="7"/>
        <v>0.14367816091954022</v>
      </c>
      <c r="C158">
        <f t="shared" si="8"/>
        <v>0.28735632183908044</v>
      </c>
      <c r="D158">
        <v>0.80000000000000104</v>
      </c>
      <c r="E158" t="s">
        <v>50</v>
      </c>
      <c r="F158" t="s">
        <v>24</v>
      </c>
      <c r="G158" t="s">
        <v>21</v>
      </c>
      <c r="H158" t="s">
        <v>26</v>
      </c>
      <c r="I158" t="s">
        <v>19</v>
      </c>
      <c r="J158" t="s">
        <v>22</v>
      </c>
      <c r="K158" t="s">
        <v>24</v>
      </c>
      <c r="L158" t="s">
        <v>21</v>
      </c>
      <c r="M158" t="s">
        <v>26</v>
      </c>
      <c r="N158" t="s">
        <v>19</v>
      </c>
      <c r="O158" t="s">
        <v>22</v>
      </c>
    </row>
    <row r="159" spans="1:15">
      <c r="A159" t="s">
        <v>33</v>
      </c>
      <c r="B159">
        <f t="shared" si="7"/>
        <v>0.14367816091954022</v>
      </c>
      <c r="C159">
        <f t="shared" si="8"/>
        <v>0.28735632183908044</v>
      </c>
      <c r="D159">
        <v>0.70000000000000095</v>
      </c>
      <c r="E159" t="s">
        <v>50</v>
      </c>
      <c r="F159" t="s">
        <v>19</v>
      </c>
      <c r="G159" t="s">
        <v>25</v>
      </c>
      <c r="H159" t="s">
        <v>20</v>
      </c>
      <c r="I159" t="s">
        <v>17</v>
      </c>
      <c r="J159" t="s">
        <v>21</v>
      </c>
      <c r="K159" t="s">
        <v>19</v>
      </c>
      <c r="L159" t="s">
        <v>25</v>
      </c>
      <c r="M159" t="s">
        <v>20</v>
      </c>
      <c r="N159" t="s">
        <v>17</v>
      </c>
      <c r="O159" t="s">
        <v>21</v>
      </c>
    </row>
    <row r="160" spans="1:15">
      <c r="A160" t="s">
        <v>33</v>
      </c>
      <c r="B160">
        <f t="shared" si="7"/>
        <v>0.14367816091954022</v>
      </c>
      <c r="C160">
        <f t="shared" si="8"/>
        <v>0.28735632183908044</v>
      </c>
      <c r="D160">
        <v>0.6</v>
      </c>
      <c r="E160" t="s">
        <v>50</v>
      </c>
      <c r="F160" t="s">
        <v>23</v>
      </c>
      <c r="G160" t="s">
        <v>19</v>
      </c>
      <c r="H160" t="s">
        <v>17</v>
      </c>
      <c r="I160" t="s">
        <v>24</v>
      </c>
      <c r="J160" t="s">
        <v>25</v>
      </c>
      <c r="K160" t="s">
        <v>23</v>
      </c>
      <c r="L160" t="s">
        <v>19</v>
      </c>
      <c r="M160" t="s">
        <v>17</v>
      </c>
      <c r="N160" t="s">
        <v>24</v>
      </c>
      <c r="O160" t="s">
        <v>25</v>
      </c>
    </row>
    <row r="161" spans="1:15">
      <c r="A161" t="s">
        <v>33</v>
      </c>
      <c r="B161">
        <f t="shared" si="7"/>
        <v>0.14367816091954022</v>
      </c>
      <c r="C161">
        <f t="shared" si="8"/>
        <v>0.28735632183908044</v>
      </c>
      <c r="D161">
        <v>0.5</v>
      </c>
      <c r="E161" t="s">
        <v>50</v>
      </c>
      <c r="F161" t="s">
        <v>18</v>
      </c>
      <c r="G161" t="s">
        <v>21</v>
      </c>
      <c r="H161" t="s">
        <v>22</v>
      </c>
      <c r="I161" t="s">
        <v>26</v>
      </c>
      <c r="J161" t="s">
        <v>19</v>
      </c>
      <c r="N161" t="s">
        <v>26</v>
      </c>
      <c r="O161" t="s">
        <v>19</v>
      </c>
    </row>
    <row r="162" spans="1:15">
      <c r="A162" t="s">
        <v>33</v>
      </c>
      <c r="B162">
        <f t="shared" si="7"/>
        <v>0.14367816091954022</v>
      </c>
      <c r="C162">
        <f t="shared" si="8"/>
        <v>0.28735632183908044</v>
      </c>
      <c r="D162">
        <v>0.4</v>
      </c>
      <c r="E162" t="s">
        <v>50</v>
      </c>
      <c r="F162" t="s">
        <v>17</v>
      </c>
      <c r="G162" t="s">
        <v>22</v>
      </c>
      <c r="H162" t="s">
        <v>18</v>
      </c>
      <c r="I162" t="s">
        <v>26</v>
      </c>
      <c r="J162" t="s">
        <v>25</v>
      </c>
    </row>
    <row r="163" spans="1:15">
      <c r="A163" t="s">
        <v>33</v>
      </c>
      <c r="B163">
        <f t="shared" si="7"/>
        <v>0.14367816091954022</v>
      </c>
      <c r="C163">
        <f t="shared" si="8"/>
        <v>0.28735632183908044</v>
      </c>
      <c r="D163">
        <v>0.3</v>
      </c>
      <c r="E163" t="s">
        <v>50</v>
      </c>
      <c r="F163" t="s">
        <v>18</v>
      </c>
      <c r="G163" t="s">
        <v>21</v>
      </c>
      <c r="H163" t="s">
        <v>24</v>
      </c>
      <c r="I163" t="s">
        <v>25</v>
      </c>
      <c r="J163" t="s">
        <v>22</v>
      </c>
    </row>
    <row r="164" spans="1:15">
      <c r="A164" t="s">
        <v>33</v>
      </c>
      <c r="B164">
        <f t="shared" si="7"/>
        <v>0.14367816091954022</v>
      </c>
      <c r="C164">
        <f t="shared" si="8"/>
        <v>0.28735632183908044</v>
      </c>
      <c r="D164">
        <v>0.2</v>
      </c>
      <c r="E164" t="s">
        <v>50</v>
      </c>
      <c r="F164" t="s">
        <v>18</v>
      </c>
      <c r="G164" t="s">
        <v>25</v>
      </c>
      <c r="H164" t="s">
        <v>24</v>
      </c>
      <c r="I164" t="s">
        <v>19</v>
      </c>
      <c r="J164" t="s">
        <v>22</v>
      </c>
    </row>
    <row r="165" spans="1:15">
      <c r="A165" t="s">
        <v>33</v>
      </c>
      <c r="B165">
        <f t="shared" si="7"/>
        <v>0.14367816091954022</v>
      </c>
      <c r="C165">
        <f t="shared" si="8"/>
        <v>0.28735632183908044</v>
      </c>
      <c r="D165">
        <v>9.9999999999999895E-2</v>
      </c>
      <c r="E165" t="s">
        <v>50</v>
      </c>
      <c r="F165" t="s">
        <v>24</v>
      </c>
      <c r="G165" t="s">
        <v>26</v>
      </c>
      <c r="H165" t="s">
        <v>23</v>
      </c>
      <c r="I165" t="s">
        <v>19</v>
      </c>
      <c r="J165" t="s">
        <v>18</v>
      </c>
    </row>
    <row r="166" spans="1:15">
      <c r="A166" t="s">
        <v>33</v>
      </c>
      <c r="B166">
        <f t="shared" si="7"/>
        <v>0.14367816091954022</v>
      </c>
      <c r="C166">
        <f t="shared" si="8"/>
        <v>0.28735632183908044</v>
      </c>
      <c r="D166">
        <v>0</v>
      </c>
      <c r="E166" t="s">
        <v>50</v>
      </c>
      <c r="F166" t="s">
        <v>24</v>
      </c>
      <c r="G166" t="s">
        <v>19</v>
      </c>
      <c r="H166" t="s">
        <v>17</v>
      </c>
      <c r="I166" t="s">
        <v>26</v>
      </c>
      <c r="J166" t="s">
        <v>20</v>
      </c>
    </row>
    <row r="167" spans="1:15">
      <c r="A167" t="s">
        <v>33</v>
      </c>
      <c r="B167">
        <f t="shared" si="7"/>
        <v>0.14367816091954022</v>
      </c>
      <c r="C167">
        <f t="shared" si="8"/>
        <v>0.28735632183908044</v>
      </c>
      <c r="D167">
        <v>-0.1</v>
      </c>
      <c r="E167" t="s">
        <v>50</v>
      </c>
      <c r="F167" t="s">
        <v>26</v>
      </c>
      <c r="G167" t="s">
        <v>17</v>
      </c>
      <c r="H167" t="s">
        <v>19</v>
      </c>
      <c r="I167" t="s">
        <v>18</v>
      </c>
      <c r="J167" t="s">
        <v>25</v>
      </c>
    </row>
    <row r="168" spans="1:15">
      <c r="A168" t="s">
        <v>33</v>
      </c>
      <c r="B168">
        <f t="shared" si="7"/>
        <v>0.14367816091954022</v>
      </c>
      <c r="C168">
        <f t="shared" si="8"/>
        <v>0.28735632183908044</v>
      </c>
      <c r="D168">
        <v>-0.2</v>
      </c>
      <c r="E168" t="s">
        <v>50</v>
      </c>
      <c r="F168" t="s">
        <v>21</v>
      </c>
      <c r="G168" t="s">
        <v>19</v>
      </c>
      <c r="H168" t="s">
        <v>24</v>
      </c>
      <c r="I168" t="s">
        <v>23</v>
      </c>
      <c r="J168" t="s">
        <v>22</v>
      </c>
    </row>
    <row r="169" spans="1:15">
      <c r="A169" t="s">
        <v>33</v>
      </c>
      <c r="B169">
        <f t="shared" si="7"/>
        <v>0.14367816091954022</v>
      </c>
      <c r="C169">
        <f t="shared" si="8"/>
        <v>0.28735632183908044</v>
      </c>
      <c r="D169">
        <v>-0.3</v>
      </c>
      <c r="E169" t="s">
        <v>50</v>
      </c>
      <c r="F169" t="s">
        <v>26</v>
      </c>
      <c r="G169" t="s">
        <v>22</v>
      </c>
      <c r="H169" t="s">
        <v>23</v>
      </c>
      <c r="I169" t="s">
        <v>20</v>
      </c>
      <c r="J169" t="s">
        <v>24</v>
      </c>
    </row>
    <row r="170" spans="1:15">
      <c r="A170" t="s">
        <v>34</v>
      </c>
      <c r="B170">
        <f>1/(6.41*2)</f>
        <v>7.8003120124804995E-2</v>
      </c>
      <c r="C170">
        <f>1/6.41</f>
        <v>0.15600624024960999</v>
      </c>
      <c r="D170">
        <v>1.7</v>
      </c>
      <c r="E170" t="s">
        <v>50</v>
      </c>
      <c r="F170" t="s">
        <v>22</v>
      </c>
      <c r="G170" t="s">
        <v>23</v>
      </c>
      <c r="H170" t="s">
        <v>19</v>
      </c>
      <c r="I170" t="s">
        <v>26</v>
      </c>
      <c r="J170" t="s">
        <v>18</v>
      </c>
      <c r="K170" t="s">
        <v>22</v>
      </c>
      <c r="L170" t="s">
        <v>23</v>
      </c>
      <c r="M170" t="s">
        <v>19</v>
      </c>
      <c r="N170" t="s">
        <v>26</v>
      </c>
      <c r="O170" t="s">
        <v>18</v>
      </c>
    </row>
    <row r="171" spans="1:15">
      <c r="A171" t="s">
        <v>34</v>
      </c>
      <c r="B171">
        <f t="shared" ref="B171:B190" si="9">1/(6.41*2)</f>
        <v>7.8003120124804995E-2</v>
      </c>
      <c r="C171">
        <f t="shared" ref="C171:C190" si="10">1/6.41</f>
        <v>0.15600624024960999</v>
      </c>
      <c r="D171">
        <v>1.6</v>
      </c>
      <c r="E171" t="s">
        <v>50</v>
      </c>
      <c r="F171" t="s">
        <v>25</v>
      </c>
      <c r="G171" t="s">
        <v>17</v>
      </c>
      <c r="H171" t="s">
        <v>20</v>
      </c>
      <c r="I171" t="s">
        <v>22</v>
      </c>
      <c r="J171" t="s">
        <v>26</v>
      </c>
      <c r="K171" t="s">
        <v>25</v>
      </c>
      <c r="L171" t="s">
        <v>17</v>
      </c>
      <c r="M171" t="s">
        <v>20</v>
      </c>
      <c r="N171" t="s">
        <v>22</v>
      </c>
      <c r="O171" t="s">
        <v>26</v>
      </c>
    </row>
    <row r="172" spans="1:15">
      <c r="A172" t="s">
        <v>34</v>
      </c>
      <c r="B172">
        <f t="shared" si="9"/>
        <v>7.8003120124804995E-2</v>
      </c>
      <c r="C172">
        <f t="shared" si="10"/>
        <v>0.15600624024960999</v>
      </c>
      <c r="D172">
        <v>1.5</v>
      </c>
      <c r="E172" t="s">
        <v>50</v>
      </c>
      <c r="F172" t="s">
        <v>22</v>
      </c>
      <c r="G172" t="s">
        <v>19</v>
      </c>
      <c r="H172" t="s">
        <v>21</v>
      </c>
      <c r="I172" t="s">
        <v>18</v>
      </c>
      <c r="J172" t="s">
        <v>26</v>
      </c>
      <c r="K172" t="s">
        <v>22</v>
      </c>
      <c r="L172" t="s">
        <v>19</v>
      </c>
      <c r="M172" t="s">
        <v>21</v>
      </c>
      <c r="N172" t="s">
        <v>18</v>
      </c>
      <c r="O172" t="s">
        <v>26</v>
      </c>
    </row>
    <row r="173" spans="1:15">
      <c r="A173" t="s">
        <v>34</v>
      </c>
      <c r="B173">
        <f t="shared" si="9"/>
        <v>7.8003120124804995E-2</v>
      </c>
      <c r="C173">
        <f t="shared" si="10"/>
        <v>0.15600624024960999</v>
      </c>
      <c r="D173">
        <v>1.4</v>
      </c>
      <c r="E173" t="s">
        <v>50</v>
      </c>
      <c r="F173" t="s">
        <v>25</v>
      </c>
      <c r="G173" t="s">
        <v>17</v>
      </c>
      <c r="H173" t="s">
        <v>19</v>
      </c>
      <c r="I173" t="s">
        <v>20</v>
      </c>
      <c r="J173" t="s">
        <v>21</v>
      </c>
      <c r="K173" t="s">
        <v>25</v>
      </c>
      <c r="L173" t="s">
        <v>17</v>
      </c>
      <c r="M173" t="s">
        <v>19</v>
      </c>
      <c r="N173" t="s">
        <v>20</v>
      </c>
      <c r="O173" t="s">
        <v>21</v>
      </c>
    </row>
    <row r="174" spans="1:15">
      <c r="A174" t="s">
        <v>34</v>
      </c>
      <c r="B174">
        <f t="shared" si="9"/>
        <v>7.8003120124804995E-2</v>
      </c>
      <c r="C174">
        <f t="shared" si="10"/>
        <v>0.15600624024960999</v>
      </c>
      <c r="D174">
        <v>1.3</v>
      </c>
      <c r="E174" t="s">
        <v>50</v>
      </c>
      <c r="F174" t="s">
        <v>21</v>
      </c>
      <c r="G174" t="s">
        <v>20</v>
      </c>
      <c r="H174" t="s">
        <v>25</v>
      </c>
      <c r="I174" t="s">
        <v>23</v>
      </c>
      <c r="J174" t="s">
        <v>26</v>
      </c>
      <c r="K174" t="s">
        <v>21</v>
      </c>
      <c r="L174" t="s">
        <v>20</v>
      </c>
      <c r="M174" t="s">
        <v>25</v>
      </c>
      <c r="N174" t="s">
        <v>23</v>
      </c>
      <c r="O174" t="s">
        <v>26</v>
      </c>
    </row>
    <row r="175" spans="1:15">
      <c r="A175" t="s">
        <v>34</v>
      </c>
      <c r="B175">
        <f t="shared" si="9"/>
        <v>7.8003120124804995E-2</v>
      </c>
      <c r="C175">
        <f t="shared" si="10"/>
        <v>0.15600624024960999</v>
      </c>
      <c r="D175">
        <v>1.2</v>
      </c>
      <c r="E175" t="s">
        <v>50</v>
      </c>
      <c r="F175" t="s">
        <v>23</v>
      </c>
      <c r="G175" t="s">
        <v>22</v>
      </c>
      <c r="H175" t="s">
        <v>17</v>
      </c>
      <c r="I175" t="s">
        <v>26</v>
      </c>
      <c r="J175" t="s">
        <v>25</v>
      </c>
      <c r="K175" t="s">
        <v>23</v>
      </c>
      <c r="L175" t="s">
        <v>22</v>
      </c>
      <c r="M175" t="s">
        <v>17</v>
      </c>
      <c r="N175" t="s">
        <v>26</v>
      </c>
      <c r="O175" t="s">
        <v>25</v>
      </c>
    </row>
    <row r="176" spans="1:15">
      <c r="A176" t="s">
        <v>34</v>
      </c>
      <c r="B176">
        <f t="shared" si="9"/>
        <v>7.8003120124804995E-2</v>
      </c>
      <c r="C176">
        <f t="shared" si="10"/>
        <v>0.15600624024960999</v>
      </c>
      <c r="D176">
        <v>1.1000000000000001</v>
      </c>
      <c r="E176" t="s">
        <v>50</v>
      </c>
      <c r="F176" t="s">
        <v>19</v>
      </c>
      <c r="G176" t="s">
        <v>23</v>
      </c>
      <c r="H176" t="s">
        <v>20</v>
      </c>
      <c r="I176" t="s">
        <v>17</v>
      </c>
      <c r="J176" t="s">
        <v>24</v>
      </c>
      <c r="K176" t="s">
        <v>19</v>
      </c>
      <c r="L176" t="s">
        <v>23</v>
      </c>
      <c r="M176" t="s">
        <v>20</v>
      </c>
      <c r="N176" t="s">
        <v>17</v>
      </c>
      <c r="O176" t="s">
        <v>24</v>
      </c>
    </row>
    <row r="177" spans="1:15">
      <c r="A177" t="s">
        <v>34</v>
      </c>
      <c r="B177">
        <f t="shared" si="9"/>
        <v>7.8003120124804995E-2</v>
      </c>
      <c r="C177">
        <f t="shared" si="10"/>
        <v>0.15600624024960999</v>
      </c>
      <c r="D177">
        <v>1</v>
      </c>
      <c r="E177" t="s">
        <v>50</v>
      </c>
      <c r="F177" t="s">
        <v>25</v>
      </c>
      <c r="G177" t="s">
        <v>24</v>
      </c>
      <c r="H177" t="s">
        <v>22</v>
      </c>
      <c r="I177" t="s">
        <v>20</v>
      </c>
      <c r="J177" t="s">
        <v>26</v>
      </c>
      <c r="K177" t="s">
        <v>25</v>
      </c>
      <c r="L177" t="s">
        <v>24</v>
      </c>
      <c r="M177" t="s">
        <v>22</v>
      </c>
      <c r="N177" t="s">
        <v>20</v>
      </c>
      <c r="O177" t="s">
        <v>26</v>
      </c>
    </row>
    <row r="178" spans="1:15">
      <c r="A178" t="s">
        <v>34</v>
      </c>
      <c r="B178">
        <f t="shared" si="9"/>
        <v>7.8003120124804995E-2</v>
      </c>
      <c r="C178">
        <f t="shared" si="10"/>
        <v>0.15600624024960999</v>
      </c>
      <c r="D178">
        <v>0.90000000000000102</v>
      </c>
      <c r="E178" t="s">
        <v>50</v>
      </c>
      <c r="F178" t="s">
        <v>21</v>
      </c>
      <c r="G178" t="s">
        <v>17</v>
      </c>
      <c r="H178" t="s">
        <v>23</v>
      </c>
      <c r="I178" t="s">
        <v>24</v>
      </c>
      <c r="J178" t="s">
        <v>18</v>
      </c>
      <c r="K178" t="s">
        <v>21</v>
      </c>
      <c r="L178" t="s">
        <v>17</v>
      </c>
      <c r="M178" t="s">
        <v>23</v>
      </c>
      <c r="N178" t="s">
        <v>24</v>
      </c>
      <c r="O178" t="s">
        <v>18</v>
      </c>
    </row>
    <row r="179" spans="1:15">
      <c r="A179" t="s">
        <v>34</v>
      </c>
      <c r="B179">
        <f t="shared" si="9"/>
        <v>7.8003120124804995E-2</v>
      </c>
      <c r="C179">
        <f t="shared" si="10"/>
        <v>0.15600624024960999</v>
      </c>
      <c r="D179">
        <v>0.80000000000000104</v>
      </c>
      <c r="E179" t="s">
        <v>50</v>
      </c>
      <c r="F179" t="s">
        <v>19</v>
      </c>
      <c r="G179" t="s">
        <v>24</v>
      </c>
      <c r="H179" t="s">
        <v>26</v>
      </c>
      <c r="I179" t="s">
        <v>17</v>
      </c>
      <c r="J179" t="s">
        <v>22</v>
      </c>
    </row>
    <row r="180" spans="1:15">
      <c r="A180" t="s">
        <v>34</v>
      </c>
      <c r="B180">
        <f t="shared" si="9"/>
        <v>7.8003120124804995E-2</v>
      </c>
      <c r="C180">
        <f t="shared" si="10"/>
        <v>0.15600624024960999</v>
      </c>
      <c r="D180">
        <v>0.70000000000000095</v>
      </c>
      <c r="E180" t="s">
        <v>50</v>
      </c>
      <c r="F180" t="s">
        <v>19</v>
      </c>
      <c r="G180" t="s">
        <v>26</v>
      </c>
      <c r="H180" t="s">
        <v>24</v>
      </c>
      <c r="I180" t="s">
        <v>23</v>
      </c>
      <c r="J180" t="s">
        <v>22</v>
      </c>
    </row>
    <row r="181" spans="1:15">
      <c r="A181" t="s">
        <v>34</v>
      </c>
      <c r="B181">
        <f t="shared" si="9"/>
        <v>7.8003120124804995E-2</v>
      </c>
      <c r="C181">
        <f t="shared" si="10"/>
        <v>0.15600624024960999</v>
      </c>
      <c r="D181">
        <v>0.6</v>
      </c>
      <c r="E181" t="s">
        <v>50</v>
      </c>
      <c r="F181" t="s">
        <v>19</v>
      </c>
      <c r="G181" t="s">
        <v>17</v>
      </c>
      <c r="H181" t="s">
        <v>25</v>
      </c>
      <c r="I181" t="s">
        <v>20</v>
      </c>
      <c r="J181" t="s">
        <v>23</v>
      </c>
    </row>
    <row r="182" spans="1:15">
      <c r="A182" t="s">
        <v>34</v>
      </c>
      <c r="B182">
        <f t="shared" si="9"/>
        <v>7.8003120124804995E-2</v>
      </c>
      <c r="C182">
        <f t="shared" si="10"/>
        <v>0.15600624024960999</v>
      </c>
      <c r="D182">
        <v>0.5</v>
      </c>
      <c r="E182" t="s">
        <v>50</v>
      </c>
      <c r="F182" t="s">
        <v>20</v>
      </c>
      <c r="G182" t="s">
        <v>25</v>
      </c>
      <c r="H182" t="s">
        <v>18</v>
      </c>
      <c r="I182" t="s">
        <v>19</v>
      </c>
      <c r="J182" t="s">
        <v>26</v>
      </c>
    </row>
    <row r="183" spans="1:15">
      <c r="A183" t="s">
        <v>34</v>
      </c>
      <c r="B183">
        <f t="shared" si="9"/>
        <v>7.8003120124804995E-2</v>
      </c>
      <c r="C183">
        <f t="shared" si="10"/>
        <v>0.15600624024960999</v>
      </c>
      <c r="D183">
        <v>0.4</v>
      </c>
      <c r="E183" t="s">
        <v>50</v>
      </c>
      <c r="F183" t="s">
        <v>20</v>
      </c>
      <c r="G183" t="s">
        <v>21</v>
      </c>
      <c r="H183" t="s">
        <v>24</v>
      </c>
      <c r="I183" t="s">
        <v>22</v>
      </c>
      <c r="J183" t="s">
        <v>19</v>
      </c>
    </row>
    <row r="184" spans="1:15">
      <c r="A184" t="s">
        <v>34</v>
      </c>
      <c r="B184">
        <f t="shared" si="9"/>
        <v>7.8003120124804995E-2</v>
      </c>
      <c r="C184">
        <f t="shared" si="10"/>
        <v>0.15600624024960999</v>
      </c>
      <c r="D184">
        <v>0.3</v>
      </c>
      <c r="E184" t="s">
        <v>50</v>
      </c>
      <c r="F184" t="s">
        <v>24</v>
      </c>
      <c r="G184" t="s">
        <v>26</v>
      </c>
      <c r="H184" t="s">
        <v>23</v>
      </c>
      <c r="I184" t="s">
        <v>20</v>
      </c>
      <c r="J184" t="s">
        <v>17</v>
      </c>
    </row>
    <row r="185" spans="1:15">
      <c r="A185" t="s">
        <v>34</v>
      </c>
      <c r="B185">
        <f t="shared" si="9"/>
        <v>7.8003120124804995E-2</v>
      </c>
      <c r="C185">
        <f t="shared" si="10"/>
        <v>0.15600624024960999</v>
      </c>
      <c r="D185">
        <v>0.2</v>
      </c>
      <c r="E185" t="s">
        <v>50</v>
      </c>
      <c r="F185" t="s">
        <v>24</v>
      </c>
      <c r="G185" t="s">
        <v>22</v>
      </c>
      <c r="H185" t="s">
        <v>18</v>
      </c>
      <c r="I185" t="s">
        <v>21</v>
      </c>
      <c r="J185" t="s">
        <v>17</v>
      </c>
    </row>
    <row r="186" spans="1:15">
      <c r="A186" t="s">
        <v>34</v>
      </c>
      <c r="B186">
        <f t="shared" si="9"/>
        <v>7.8003120124804995E-2</v>
      </c>
      <c r="C186">
        <f t="shared" si="10"/>
        <v>0.15600624024960999</v>
      </c>
      <c r="D186">
        <v>9.9999999999999895E-2</v>
      </c>
      <c r="E186" t="s">
        <v>50</v>
      </c>
      <c r="F186" t="s">
        <v>20</v>
      </c>
      <c r="G186" t="s">
        <v>17</v>
      </c>
      <c r="H186" t="s">
        <v>25</v>
      </c>
      <c r="I186" t="s">
        <v>24</v>
      </c>
      <c r="J186" t="s">
        <v>26</v>
      </c>
    </row>
    <row r="187" spans="1:15">
      <c r="A187" t="s">
        <v>34</v>
      </c>
      <c r="B187">
        <f t="shared" si="9"/>
        <v>7.8003120124804995E-2</v>
      </c>
      <c r="C187">
        <f t="shared" si="10"/>
        <v>0.15600624024960999</v>
      </c>
      <c r="D187">
        <v>0</v>
      </c>
      <c r="E187" t="s">
        <v>50</v>
      </c>
      <c r="F187" t="s">
        <v>22</v>
      </c>
      <c r="G187" t="s">
        <v>26</v>
      </c>
      <c r="H187" t="s">
        <v>18</v>
      </c>
      <c r="I187" t="s">
        <v>21</v>
      </c>
      <c r="J187" t="s">
        <v>19</v>
      </c>
    </row>
    <row r="188" spans="1:15">
      <c r="A188" t="s">
        <v>34</v>
      </c>
      <c r="B188">
        <f t="shared" si="9"/>
        <v>7.8003120124804995E-2</v>
      </c>
      <c r="C188">
        <f t="shared" si="10"/>
        <v>0.15600624024960999</v>
      </c>
      <c r="D188">
        <v>-0.1</v>
      </c>
      <c r="E188" t="s">
        <v>50</v>
      </c>
      <c r="F188" t="s">
        <v>23</v>
      </c>
      <c r="G188" t="s">
        <v>17</v>
      </c>
      <c r="H188" t="s">
        <v>20</v>
      </c>
      <c r="I188" t="s">
        <v>26</v>
      </c>
      <c r="J188" t="s">
        <v>22</v>
      </c>
    </row>
    <row r="189" spans="1:15">
      <c r="A189" t="s">
        <v>34</v>
      </c>
      <c r="B189">
        <f t="shared" si="9"/>
        <v>7.8003120124804995E-2</v>
      </c>
      <c r="C189">
        <f t="shared" si="10"/>
        <v>0.15600624024960999</v>
      </c>
      <c r="D189">
        <v>-0.2</v>
      </c>
      <c r="E189" t="s">
        <v>50</v>
      </c>
      <c r="F189" t="s">
        <v>20</v>
      </c>
      <c r="G189" t="s">
        <v>23</v>
      </c>
      <c r="H189" t="s">
        <v>18</v>
      </c>
      <c r="I189" t="s">
        <v>19</v>
      </c>
      <c r="J189" t="s">
        <v>22</v>
      </c>
    </row>
    <row r="190" spans="1:15">
      <c r="A190" t="s">
        <v>34</v>
      </c>
      <c r="B190">
        <f t="shared" si="9"/>
        <v>7.8003120124804995E-2</v>
      </c>
      <c r="C190">
        <f t="shared" si="10"/>
        <v>0.15600624024960999</v>
      </c>
      <c r="D190">
        <v>-0.3</v>
      </c>
      <c r="E190" t="s">
        <v>50</v>
      </c>
      <c r="F190" t="s">
        <v>22</v>
      </c>
      <c r="G190" t="s">
        <v>17</v>
      </c>
      <c r="H190" t="s">
        <v>25</v>
      </c>
      <c r="I190" t="s">
        <v>21</v>
      </c>
      <c r="J190" t="s">
        <v>18</v>
      </c>
    </row>
    <row r="191" spans="1:15">
      <c r="A191" t="s">
        <v>35</v>
      </c>
      <c r="B191">
        <f>1/(11.65*2)</f>
        <v>4.2918454935622317E-2</v>
      </c>
      <c r="C191">
        <f>1/11.65</f>
        <v>8.5836909871244635E-2</v>
      </c>
      <c r="D191">
        <v>1.7</v>
      </c>
      <c r="E191" t="s">
        <v>50</v>
      </c>
      <c r="F191" t="s">
        <v>17</v>
      </c>
      <c r="G191" t="s">
        <v>19</v>
      </c>
      <c r="H191" t="s">
        <v>18</v>
      </c>
      <c r="I191" t="s">
        <v>26</v>
      </c>
      <c r="J191" t="s">
        <v>24</v>
      </c>
      <c r="K191" t="s">
        <v>17</v>
      </c>
      <c r="L191" t="s">
        <v>19</v>
      </c>
      <c r="M191" t="s">
        <v>18</v>
      </c>
      <c r="N191" t="s">
        <v>26</v>
      </c>
      <c r="O191" t="s">
        <v>24</v>
      </c>
    </row>
    <row r="192" spans="1:15">
      <c r="A192" t="s">
        <v>35</v>
      </c>
      <c r="B192">
        <f t="shared" ref="B192:B211" si="11">1/(11.65*2)</f>
        <v>4.2918454935622317E-2</v>
      </c>
      <c r="C192">
        <f t="shared" ref="C192:C211" si="12">1/11.65</f>
        <v>8.5836909871244635E-2</v>
      </c>
      <c r="D192">
        <v>1.6</v>
      </c>
      <c r="E192" t="s">
        <v>50</v>
      </c>
      <c r="F192" t="s">
        <v>26</v>
      </c>
      <c r="G192" t="s">
        <v>20</v>
      </c>
      <c r="H192" t="s">
        <v>24</v>
      </c>
      <c r="I192" t="s">
        <v>17</v>
      </c>
      <c r="J192" t="s">
        <v>22</v>
      </c>
      <c r="K192" t="s">
        <v>26</v>
      </c>
      <c r="L192" t="s">
        <v>20</v>
      </c>
      <c r="M192" t="s">
        <v>24</v>
      </c>
      <c r="N192" t="s">
        <v>17</v>
      </c>
      <c r="O192" t="s">
        <v>22</v>
      </c>
    </row>
    <row r="193" spans="1:15">
      <c r="A193" t="s">
        <v>35</v>
      </c>
      <c r="B193">
        <f t="shared" si="11"/>
        <v>4.2918454935622317E-2</v>
      </c>
      <c r="C193">
        <f t="shared" si="12"/>
        <v>8.5836909871244635E-2</v>
      </c>
      <c r="D193">
        <v>1.5</v>
      </c>
      <c r="E193" t="s">
        <v>50</v>
      </c>
      <c r="F193" t="s">
        <v>19</v>
      </c>
      <c r="G193" t="s">
        <v>17</v>
      </c>
      <c r="H193" t="s">
        <v>26</v>
      </c>
      <c r="I193" t="s">
        <v>18</v>
      </c>
      <c r="J193" t="s">
        <v>20</v>
      </c>
      <c r="K193" t="s">
        <v>19</v>
      </c>
      <c r="L193" t="s">
        <v>17</v>
      </c>
      <c r="M193" t="s">
        <v>26</v>
      </c>
      <c r="N193" t="s">
        <v>18</v>
      </c>
      <c r="O193" t="s">
        <v>20</v>
      </c>
    </row>
    <row r="194" spans="1:15">
      <c r="A194" t="s">
        <v>35</v>
      </c>
      <c r="B194">
        <f t="shared" si="11"/>
        <v>4.2918454935622317E-2</v>
      </c>
      <c r="C194">
        <f t="shared" si="12"/>
        <v>8.5836909871244635E-2</v>
      </c>
      <c r="D194">
        <v>1.4</v>
      </c>
      <c r="E194" t="s">
        <v>50</v>
      </c>
      <c r="F194" t="s">
        <v>23</v>
      </c>
      <c r="G194" t="s">
        <v>18</v>
      </c>
      <c r="H194" t="s">
        <v>24</v>
      </c>
      <c r="I194" t="s">
        <v>20</v>
      </c>
      <c r="J194" t="s">
        <v>25</v>
      </c>
      <c r="K194" t="s">
        <v>23</v>
      </c>
      <c r="L194" t="s">
        <v>18</v>
      </c>
      <c r="M194" t="s">
        <v>24</v>
      </c>
      <c r="N194" t="s">
        <v>20</v>
      </c>
      <c r="O194" t="s">
        <v>25</v>
      </c>
    </row>
    <row r="195" spans="1:15">
      <c r="A195" t="s">
        <v>35</v>
      </c>
      <c r="B195">
        <f t="shared" si="11"/>
        <v>4.2918454935622317E-2</v>
      </c>
      <c r="C195">
        <f t="shared" si="12"/>
        <v>8.5836909871244635E-2</v>
      </c>
      <c r="D195">
        <v>1.3</v>
      </c>
      <c r="E195" t="s">
        <v>50</v>
      </c>
      <c r="F195" t="s">
        <v>19</v>
      </c>
      <c r="G195" t="s">
        <v>24</v>
      </c>
      <c r="H195" t="s">
        <v>22</v>
      </c>
      <c r="I195" t="s">
        <v>23</v>
      </c>
      <c r="J195" t="s">
        <v>21</v>
      </c>
      <c r="K195" t="s">
        <v>19</v>
      </c>
      <c r="L195" t="s">
        <v>24</v>
      </c>
      <c r="M195" t="s">
        <v>22</v>
      </c>
      <c r="N195" t="s">
        <v>23</v>
      </c>
    </row>
    <row r="196" spans="1:15">
      <c r="A196" t="s">
        <v>35</v>
      </c>
      <c r="B196">
        <f t="shared" si="11"/>
        <v>4.2918454935622317E-2</v>
      </c>
      <c r="C196">
        <f t="shared" si="12"/>
        <v>8.5836909871244635E-2</v>
      </c>
      <c r="D196">
        <v>1.2</v>
      </c>
      <c r="E196" t="s">
        <v>50</v>
      </c>
      <c r="F196" t="s">
        <v>21</v>
      </c>
      <c r="G196" t="s">
        <v>18</v>
      </c>
      <c r="H196" t="s">
        <v>26</v>
      </c>
      <c r="I196" t="s">
        <v>24</v>
      </c>
      <c r="J196" t="s">
        <v>25</v>
      </c>
      <c r="K196" t="s">
        <v>21</v>
      </c>
      <c r="L196" t="s">
        <v>18</v>
      </c>
      <c r="M196" t="s">
        <v>26</v>
      </c>
      <c r="O196" t="s">
        <v>25</v>
      </c>
    </row>
    <row r="197" spans="1:15">
      <c r="A197" t="s">
        <v>35</v>
      </c>
      <c r="B197">
        <f t="shared" si="11"/>
        <v>4.2918454935622317E-2</v>
      </c>
      <c r="C197">
        <f t="shared" si="12"/>
        <v>8.5836909871244635E-2</v>
      </c>
      <c r="D197">
        <v>1.1000000000000001</v>
      </c>
      <c r="E197" t="s">
        <v>50</v>
      </c>
      <c r="F197" t="s">
        <v>17</v>
      </c>
      <c r="G197" t="s">
        <v>18</v>
      </c>
      <c r="H197" t="s">
        <v>21</v>
      </c>
      <c r="I197" t="s">
        <v>22</v>
      </c>
      <c r="J197" t="s">
        <v>25</v>
      </c>
    </row>
    <row r="198" spans="1:15">
      <c r="A198" t="s">
        <v>35</v>
      </c>
      <c r="B198">
        <f t="shared" si="11"/>
        <v>4.2918454935622317E-2</v>
      </c>
      <c r="C198">
        <f t="shared" si="12"/>
        <v>8.5836909871244635E-2</v>
      </c>
      <c r="D198">
        <v>1</v>
      </c>
      <c r="E198" t="s">
        <v>50</v>
      </c>
      <c r="F198" t="s">
        <v>25</v>
      </c>
      <c r="G198" t="s">
        <v>22</v>
      </c>
      <c r="H198" t="s">
        <v>26</v>
      </c>
      <c r="I198" t="s">
        <v>17</v>
      </c>
      <c r="J198" t="s">
        <v>19</v>
      </c>
    </row>
    <row r="199" spans="1:15">
      <c r="A199" t="s">
        <v>35</v>
      </c>
      <c r="B199">
        <f t="shared" si="11"/>
        <v>4.2918454935622317E-2</v>
      </c>
      <c r="C199">
        <f t="shared" si="12"/>
        <v>8.5836909871244635E-2</v>
      </c>
      <c r="D199">
        <v>0.90000000000000102</v>
      </c>
      <c r="E199" t="s">
        <v>50</v>
      </c>
      <c r="F199" t="s">
        <v>25</v>
      </c>
      <c r="G199" t="s">
        <v>26</v>
      </c>
      <c r="H199" t="s">
        <v>24</v>
      </c>
      <c r="I199" t="s">
        <v>21</v>
      </c>
      <c r="J199" t="s">
        <v>19</v>
      </c>
    </row>
    <row r="200" spans="1:15">
      <c r="A200" t="s">
        <v>35</v>
      </c>
      <c r="B200">
        <f t="shared" si="11"/>
        <v>4.2918454935622317E-2</v>
      </c>
      <c r="C200">
        <f t="shared" si="12"/>
        <v>8.5836909871244635E-2</v>
      </c>
      <c r="D200">
        <v>0.80000000000000104</v>
      </c>
      <c r="E200" t="s">
        <v>50</v>
      </c>
      <c r="F200" t="s">
        <v>20</v>
      </c>
      <c r="G200" t="s">
        <v>23</v>
      </c>
      <c r="H200" t="s">
        <v>26</v>
      </c>
      <c r="I200" t="s">
        <v>25</v>
      </c>
      <c r="J200" t="s">
        <v>21</v>
      </c>
    </row>
    <row r="201" spans="1:15">
      <c r="A201" t="s">
        <v>35</v>
      </c>
      <c r="B201">
        <f t="shared" si="11"/>
        <v>4.2918454935622317E-2</v>
      </c>
      <c r="C201">
        <f t="shared" si="12"/>
        <v>8.5836909871244635E-2</v>
      </c>
      <c r="D201">
        <v>0.70000000000000095</v>
      </c>
      <c r="E201" t="s">
        <v>50</v>
      </c>
      <c r="F201" t="s">
        <v>23</v>
      </c>
      <c r="G201" t="s">
        <v>21</v>
      </c>
      <c r="H201" t="s">
        <v>17</v>
      </c>
      <c r="I201" t="s">
        <v>24</v>
      </c>
      <c r="J201" t="s">
        <v>22</v>
      </c>
    </row>
    <row r="202" spans="1:15">
      <c r="A202" t="s">
        <v>35</v>
      </c>
      <c r="B202">
        <f t="shared" si="11"/>
        <v>4.2918454935622317E-2</v>
      </c>
      <c r="C202">
        <f t="shared" si="12"/>
        <v>8.5836909871244635E-2</v>
      </c>
      <c r="D202">
        <v>0.6</v>
      </c>
      <c r="E202" t="s">
        <v>50</v>
      </c>
      <c r="F202" t="s">
        <v>17</v>
      </c>
      <c r="G202" t="s">
        <v>18</v>
      </c>
      <c r="H202" t="s">
        <v>24</v>
      </c>
      <c r="I202" t="s">
        <v>20</v>
      </c>
      <c r="J202" t="s">
        <v>19</v>
      </c>
    </row>
    <row r="203" spans="1:15">
      <c r="A203" t="s">
        <v>35</v>
      </c>
      <c r="B203">
        <f t="shared" si="11"/>
        <v>4.2918454935622317E-2</v>
      </c>
      <c r="C203">
        <f t="shared" si="12"/>
        <v>8.5836909871244635E-2</v>
      </c>
      <c r="D203">
        <v>0.5</v>
      </c>
      <c r="E203" t="s">
        <v>50</v>
      </c>
      <c r="F203" t="s">
        <v>24</v>
      </c>
      <c r="G203" t="s">
        <v>20</v>
      </c>
      <c r="H203" t="s">
        <v>26</v>
      </c>
      <c r="I203" t="s">
        <v>23</v>
      </c>
      <c r="J203" t="s">
        <v>17</v>
      </c>
    </row>
    <row r="204" spans="1:15">
      <c r="A204" t="s">
        <v>35</v>
      </c>
      <c r="B204">
        <f t="shared" si="11"/>
        <v>4.2918454935622317E-2</v>
      </c>
      <c r="C204">
        <f t="shared" si="12"/>
        <v>8.5836909871244635E-2</v>
      </c>
      <c r="D204">
        <v>0.4</v>
      </c>
      <c r="E204" t="s">
        <v>50</v>
      </c>
      <c r="F204" t="s">
        <v>21</v>
      </c>
      <c r="G204" t="s">
        <v>22</v>
      </c>
      <c r="H204" t="s">
        <v>26</v>
      </c>
      <c r="I204" t="s">
        <v>18</v>
      </c>
      <c r="J204" t="s">
        <v>17</v>
      </c>
    </row>
    <row r="205" spans="1:15">
      <c r="A205" t="s">
        <v>35</v>
      </c>
      <c r="B205">
        <f t="shared" si="11"/>
        <v>4.2918454935622317E-2</v>
      </c>
      <c r="C205">
        <f t="shared" si="12"/>
        <v>8.5836909871244635E-2</v>
      </c>
      <c r="D205">
        <v>0.3</v>
      </c>
      <c r="E205" t="s">
        <v>50</v>
      </c>
      <c r="F205" t="s">
        <v>19</v>
      </c>
      <c r="G205" t="s">
        <v>24</v>
      </c>
      <c r="H205" t="s">
        <v>26</v>
      </c>
      <c r="I205" t="s">
        <v>18</v>
      </c>
      <c r="J205" t="s">
        <v>23</v>
      </c>
    </row>
    <row r="206" spans="1:15">
      <c r="A206" t="s">
        <v>35</v>
      </c>
      <c r="B206">
        <f t="shared" si="11"/>
        <v>4.2918454935622317E-2</v>
      </c>
      <c r="C206">
        <f t="shared" si="12"/>
        <v>8.5836909871244635E-2</v>
      </c>
      <c r="D206">
        <v>0.2</v>
      </c>
      <c r="E206" t="s">
        <v>50</v>
      </c>
      <c r="F206" t="s">
        <v>25</v>
      </c>
      <c r="G206" t="s">
        <v>17</v>
      </c>
      <c r="H206" t="s">
        <v>19</v>
      </c>
      <c r="I206" t="s">
        <v>23</v>
      </c>
      <c r="J206" t="s">
        <v>26</v>
      </c>
    </row>
    <row r="207" spans="1:15">
      <c r="A207" t="s">
        <v>35</v>
      </c>
      <c r="B207">
        <f t="shared" si="11"/>
        <v>4.2918454935622317E-2</v>
      </c>
      <c r="C207">
        <f t="shared" si="12"/>
        <v>8.5836909871244635E-2</v>
      </c>
      <c r="D207">
        <v>9.9999999999999895E-2</v>
      </c>
      <c r="E207" t="s">
        <v>50</v>
      </c>
      <c r="F207" t="s">
        <v>19</v>
      </c>
      <c r="G207" t="s">
        <v>18</v>
      </c>
      <c r="H207" t="s">
        <v>23</v>
      </c>
      <c r="I207" t="s">
        <v>25</v>
      </c>
      <c r="J207" t="s">
        <v>26</v>
      </c>
    </row>
    <row r="208" spans="1:15">
      <c r="A208" t="s">
        <v>35</v>
      </c>
      <c r="B208">
        <f t="shared" si="11"/>
        <v>4.2918454935622317E-2</v>
      </c>
      <c r="C208">
        <f t="shared" si="12"/>
        <v>8.5836909871244635E-2</v>
      </c>
      <c r="D208">
        <v>0</v>
      </c>
      <c r="E208" t="s">
        <v>50</v>
      </c>
      <c r="F208" t="s">
        <v>25</v>
      </c>
      <c r="G208" t="s">
        <v>18</v>
      </c>
      <c r="H208" t="s">
        <v>23</v>
      </c>
      <c r="I208" t="s">
        <v>22</v>
      </c>
      <c r="J208" t="s">
        <v>20</v>
      </c>
    </row>
    <row r="209" spans="1:15">
      <c r="A209" t="s">
        <v>35</v>
      </c>
      <c r="B209">
        <f t="shared" si="11"/>
        <v>4.2918454935622317E-2</v>
      </c>
      <c r="C209">
        <f t="shared" si="12"/>
        <v>8.5836909871244635E-2</v>
      </c>
      <c r="D209">
        <v>-0.1</v>
      </c>
      <c r="E209" t="s">
        <v>50</v>
      </c>
      <c r="F209" t="s">
        <v>21</v>
      </c>
      <c r="G209" t="s">
        <v>22</v>
      </c>
      <c r="H209" t="s">
        <v>25</v>
      </c>
      <c r="I209" t="s">
        <v>20</v>
      </c>
      <c r="J209" t="s">
        <v>24</v>
      </c>
    </row>
    <row r="210" spans="1:15">
      <c r="A210" t="s">
        <v>35</v>
      </c>
      <c r="B210">
        <f t="shared" si="11"/>
        <v>4.2918454935622317E-2</v>
      </c>
      <c r="C210">
        <f t="shared" si="12"/>
        <v>8.5836909871244635E-2</v>
      </c>
      <c r="D210">
        <v>-0.2</v>
      </c>
      <c r="E210" t="s">
        <v>50</v>
      </c>
      <c r="F210" t="s">
        <v>18</v>
      </c>
      <c r="G210" t="s">
        <v>23</v>
      </c>
      <c r="H210" t="s">
        <v>24</v>
      </c>
      <c r="I210" t="s">
        <v>22</v>
      </c>
      <c r="J210" t="s">
        <v>25</v>
      </c>
    </row>
    <row r="211" spans="1:15">
      <c r="A211" t="s">
        <v>35</v>
      </c>
      <c r="B211">
        <f t="shared" si="11"/>
        <v>4.2918454935622317E-2</v>
      </c>
      <c r="C211">
        <f t="shared" si="12"/>
        <v>8.5836909871244635E-2</v>
      </c>
      <c r="D211">
        <v>-0.3</v>
      </c>
      <c r="E211" t="s">
        <v>50</v>
      </c>
      <c r="F211" t="s">
        <v>18</v>
      </c>
      <c r="G211" t="s">
        <v>25</v>
      </c>
      <c r="H211" t="s">
        <v>19</v>
      </c>
      <c r="I211" t="s">
        <v>20</v>
      </c>
      <c r="J211" t="s">
        <v>24</v>
      </c>
    </row>
    <row r="212" spans="1:15">
      <c r="A212" t="s">
        <v>36</v>
      </c>
      <c r="B212">
        <f>1/(20.9*2)</f>
        <v>2.3923444976076555E-2</v>
      </c>
      <c r="C212">
        <f>1/20.9</f>
        <v>4.784688995215311E-2</v>
      </c>
      <c r="D212">
        <v>1.7</v>
      </c>
      <c r="E212" t="s">
        <v>50</v>
      </c>
      <c r="F212" t="s">
        <v>24</v>
      </c>
      <c r="G212" t="s">
        <v>22</v>
      </c>
      <c r="H212" t="s">
        <v>18</v>
      </c>
      <c r="I212" t="s">
        <v>26</v>
      </c>
      <c r="J212" t="s">
        <v>20</v>
      </c>
      <c r="K212" t="s">
        <v>24</v>
      </c>
      <c r="L212" t="s">
        <v>22</v>
      </c>
      <c r="M212" t="s">
        <v>18</v>
      </c>
      <c r="N212" t="s">
        <v>26</v>
      </c>
      <c r="O212" t="s">
        <v>20</v>
      </c>
    </row>
    <row r="213" spans="1:15">
      <c r="A213" t="s">
        <v>36</v>
      </c>
      <c r="B213">
        <f t="shared" ref="B213:B232" si="13">1/(20.9*2)</f>
        <v>2.3923444976076555E-2</v>
      </c>
      <c r="C213">
        <f t="shared" ref="C213:C232" si="14">1/20.9</f>
        <v>4.784688995215311E-2</v>
      </c>
      <c r="D213">
        <v>1.6</v>
      </c>
      <c r="E213" t="s">
        <v>50</v>
      </c>
      <c r="F213" t="s">
        <v>20</v>
      </c>
      <c r="G213" t="s">
        <v>21</v>
      </c>
      <c r="H213" t="s">
        <v>24</v>
      </c>
      <c r="I213" t="s">
        <v>23</v>
      </c>
      <c r="J213" t="s">
        <v>18</v>
      </c>
      <c r="K213" t="s">
        <v>20</v>
      </c>
      <c r="N213" t="s">
        <v>23</v>
      </c>
      <c r="O213" t="s">
        <v>18</v>
      </c>
    </row>
    <row r="214" spans="1:15">
      <c r="A214" t="s">
        <v>36</v>
      </c>
      <c r="B214">
        <f t="shared" si="13"/>
        <v>2.3923444976076555E-2</v>
      </c>
      <c r="C214">
        <f t="shared" si="14"/>
        <v>4.784688995215311E-2</v>
      </c>
      <c r="D214">
        <v>1.5</v>
      </c>
      <c r="E214" t="s">
        <v>50</v>
      </c>
      <c r="F214" t="s">
        <v>22</v>
      </c>
      <c r="G214" t="s">
        <v>24</v>
      </c>
      <c r="H214" t="s">
        <v>26</v>
      </c>
      <c r="I214" t="s">
        <v>20</v>
      </c>
      <c r="J214" t="s">
        <v>18</v>
      </c>
    </row>
    <row r="215" spans="1:15">
      <c r="A215" t="s">
        <v>36</v>
      </c>
      <c r="B215">
        <f t="shared" si="13"/>
        <v>2.3923444976076555E-2</v>
      </c>
      <c r="C215">
        <f t="shared" si="14"/>
        <v>4.784688995215311E-2</v>
      </c>
      <c r="D215">
        <v>1.4</v>
      </c>
      <c r="E215" t="s">
        <v>50</v>
      </c>
      <c r="F215" t="s">
        <v>26</v>
      </c>
      <c r="G215" t="s">
        <v>24</v>
      </c>
      <c r="H215" t="s">
        <v>17</v>
      </c>
      <c r="I215" t="s">
        <v>22</v>
      </c>
      <c r="J215" t="s">
        <v>21</v>
      </c>
    </row>
    <row r="216" spans="1:15">
      <c r="A216" t="s">
        <v>36</v>
      </c>
      <c r="B216">
        <f t="shared" si="13"/>
        <v>2.3923444976076555E-2</v>
      </c>
      <c r="C216">
        <f t="shared" si="14"/>
        <v>4.784688995215311E-2</v>
      </c>
      <c r="D216">
        <v>1.3</v>
      </c>
      <c r="E216" t="s">
        <v>50</v>
      </c>
      <c r="F216" t="s">
        <v>23</v>
      </c>
      <c r="G216" t="s">
        <v>22</v>
      </c>
      <c r="H216" t="s">
        <v>24</v>
      </c>
      <c r="I216" t="s">
        <v>25</v>
      </c>
      <c r="J216" t="s">
        <v>18</v>
      </c>
    </row>
    <row r="217" spans="1:15">
      <c r="A217" t="s">
        <v>36</v>
      </c>
      <c r="B217">
        <f t="shared" si="13"/>
        <v>2.3923444976076555E-2</v>
      </c>
      <c r="C217">
        <f t="shared" si="14"/>
        <v>4.784688995215311E-2</v>
      </c>
      <c r="D217">
        <v>1.2</v>
      </c>
      <c r="E217" t="s">
        <v>50</v>
      </c>
      <c r="F217" t="s">
        <v>24</v>
      </c>
      <c r="G217" t="s">
        <v>18</v>
      </c>
      <c r="H217" t="s">
        <v>17</v>
      </c>
      <c r="I217" t="s">
        <v>20</v>
      </c>
      <c r="J217" t="s">
        <v>19</v>
      </c>
    </row>
    <row r="218" spans="1:15">
      <c r="A218" t="s">
        <v>36</v>
      </c>
      <c r="B218">
        <f t="shared" si="13"/>
        <v>2.3923444976076555E-2</v>
      </c>
      <c r="C218">
        <f t="shared" si="14"/>
        <v>4.784688995215311E-2</v>
      </c>
      <c r="D218">
        <v>1.1000000000000001</v>
      </c>
      <c r="E218" t="s">
        <v>50</v>
      </c>
      <c r="F218" t="s">
        <v>17</v>
      </c>
      <c r="G218" t="s">
        <v>25</v>
      </c>
      <c r="H218" t="s">
        <v>19</v>
      </c>
      <c r="I218" t="s">
        <v>26</v>
      </c>
      <c r="J218" t="s">
        <v>20</v>
      </c>
    </row>
    <row r="219" spans="1:15">
      <c r="A219" t="s">
        <v>36</v>
      </c>
      <c r="B219">
        <f t="shared" si="13"/>
        <v>2.3923444976076555E-2</v>
      </c>
      <c r="C219">
        <f t="shared" si="14"/>
        <v>4.784688995215311E-2</v>
      </c>
      <c r="D219">
        <v>1</v>
      </c>
      <c r="E219" t="s">
        <v>50</v>
      </c>
      <c r="F219" t="s">
        <v>25</v>
      </c>
      <c r="G219" t="s">
        <v>18</v>
      </c>
      <c r="H219" t="s">
        <v>24</v>
      </c>
      <c r="I219" t="s">
        <v>21</v>
      </c>
      <c r="J219" t="s">
        <v>19</v>
      </c>
    </row>
    <row r="220" spans="1:15">
      <c r="A220" t="s">
        <v>36</v>
      </c>
      <c r="B220">
        <f t="shared" si="13"/>
        <v>2.3923444976076555E-2</v>
      </c>
      <c r="C220">
        <f t="shared" si="14"/>
        <v>4.784688995215311E-2</v>
      </c>
      <c r="D220">
        <v>0.90000000000000102</v>
      </c>
      <c r="E220" t="s">
        <v>50</v>
      </c>
      <c r="F220" t="s">
        <v>25</v>
      </c>
      <c r="G220" t="s">
        <v>18</v>
      </c>
      <c r="H220" t="s">
        <v>26</v>
      </c>
      <c r="I220" t="s">
        <v>21</v>
      </c>
      <c r="J220" t="s">
        <v>22</v>
      </c>
    </row>
    <row r="221" spans="1:15">
      <c r="A221" t="s">
        <v>36</v>
      </c>
      <c r="B221">
        <f t="shared" si="13"/>
        <v>2.3923444976076555E-2</v>
      </c>
      <c r="C221">
        <f t="shared" si="14"/>
        <v>4.784688995215311E-2</v>
      </c>
      <c r="D221">
        <v>0.80000000000000104</v>
      </c>
      <c r="E221" t="s">
        <v>50</v>
      </c>
      <c r="F221" t="s">
        <v>18</v>
      </c>
      <c r="G221" t="s">
        <v>25</v>
      </c>
      <c r="H221" t="s">
        <v>26</v>
      </c>
      <c r="I221" t="s">
        <v>19</v>
      </c>
      <c r="J221" t="s">
        <v>23</v>
      </c>
    </row>
    <row r="222" spans="1:15">
      <c r="A222" t="s">
        <v>36</v>
      </c>
      <c r="B222">
        <f t="shared" si="13"/>
        <v>2.3923444976076555E-2</v>
      </c>
      <c r="C222">
        <f t="shared" si="14"/>
        <v>4.784688995215311E-2</v>
      </c>
      <c r="D222">
        <v>0.70000000000000095</v>
      </c>
      <c r="E222" t="s">
        <v>50</v>
      </c>
      <c r="F222" t="s">
        <v>24</v>
      </c>
      <c r="G222" t="s">
        <v>22</v>
      </c>
      <c r="H222" t="s">
        <v>19</v>
      </c>
      <c r="I222" t="s">
        <v>21</v>
      </c>
      <c r="J222" t="s">
        <v>25</v>
      </c>
    </row>
    <row r="223" spans="1:15">
      <c r="A223" t="s">
        <v>36</v>
      </c>
      <c r="B223">
        <f t="shared" si="13"/>
        <v>2.3923444976076555E-2</v>
      </c>
      <c r="C223">
        <f t="shared" si="14"/>
        <v>4.784688995215311E-2</v>
      </c>
      <c r="D223">
        <v>0.6</v>
      </c>
      <c r="E223" t="s">
        <v>50</v>
      </c>
      <c r="F223" t="s">
        <v>21</v>
      </c>
      <c r="G223" t="s">
        <v>20</v>
      </c>
      <c r="H223" t="s">
        <v>17</v>
      </c>
      <c r="I223" t="s">
        <v>24</v>
      </c>
      <c r="J223" t="s">
        <v>22</v>
      </c>
    </row>
    <row r="224" spans="1:15">
      <c r="A224" t="s">
        <v>36</v>
      </c>
      <c r="B224">
        <f t="shared" si="13"/>
        <v>2.3923444976076555E-2</v>
      </c>
      <c r="C224">
        <f t="shared" si="14"/>
        <v>4.784688995215311E-2</v>
      </c>
      <c r="D224">
        <v>0.5</v>
      </c>
      <c r="E224" t="s">
        <v>50</v>
      </c>
      <c r="F224" t="s">
        <v>26</v>
      </c>
      <c r="G224" t="s">
        <v>17</v>
      </c>
      <c r="H224" t="s">
        <v>18</v>
      </c>
      <c r="I224" t="s">
        <v>23</v>
      </c>
      <c r="J224" t="s">
        <v>24</v>
      </c>
    </row>
    <row r="225" spans="1:15">
      <c r="A225" t="s">
        <v>36</v>
      </c>
      <c r="B225">
        <f t="shared" si="13"/>
        <v>2.3923444976076555E-2</v>
      </c>
      <c r="C225">
        <f t="shared" si="14"/>
        <v>4.784688995215311E-2</v>
      </c>
      <c r="D225">
        <v>0.4</v>
      </c>
      <c r="E225" t="s">
        <v>50</v>
      </c>
      <c r="F225" t="s">
        <v>21</v>
      </c>
      <c r="G225" t="s">
        <v>26</v>
      </c>
      <c r="H225" t="s">
        <v>18</v>
      </c>
      <c r="I225" t="s">
        <v>25</v>
      </c>
      <c r="J225" t="s">
        <v>22</v>
      </c>
    </row>
    <row r="226" spans="1:15">
      <c r="A226" t="s">
        <v>36</v>
      </c>
      <c r="B226">
        <f t="shared" si="13"/>
        <v>2.3923444976076555E-2</v>
      </c>
      <c r="C226">
        <f t="shared" si="14"/>
        <v>4.784688995215311E-2</v>
      </c>
      <c r="D226">
        <v>0.3</v>
      </c>
      <c r="E226" t="s">
        <v>50</v>
      </c>
      <c r="F226" t="s">
        <v>23</v>
      </c>
      <c r="G226" t="s">
        <v>22</v>
      </c>
      <c r="H226" t="s">
        <v>25</v>
      </c>
      <c r="I226" t="s">
        <v>17</v>
      </c>
      <c r="J226" t="s">
        <v>24</v>
      </c>
    </row>
    <row r="227" spans="1:15">
      <c r="A227" t="s">
        <v>36</v>
      </c>
      <c r="B227">
        <f t="shared" si="13"/>
        <v>2.3923444976076555E-2</v>
      </c>
      <c r="C227">
        <f t="shared" si="14"/>
        <v>4.784688995215311E-2</v>
      </c>
      <c r="D227">
        <v>0.2</v>
      </c>
      <c r="E227" t="s">
        <v>50</v>
      </c>
      <c r="F227" t="s">
        <v>22</v>
      </c>
      <c r="G227" t="s">
        <v>17</v>
      </c>
      <c r="H227" t="s">
        <v>20</v>
      </c>
      <c r="I227" t="s">
        <v>19</v>
      </c>
      <c r="J227" t="s">
        <v>24</v>
      </c>
    </row>
    <row r="228" spans="1:15">
      <c r="A228" t="s">
        <v>36</v>
      </c>
      <c r="B228">
        <f t="shared" si="13"/>
        <v>2.3923444976076555E-2</v>
      </c>
      <c r="C228">
        <f t="shared" si="14"/>
        <v>4.784688995215311E-2</v>
      </c>
      <c r="D228">
        <v>9.9999999999999895E-2</v>
      </c>
      <c r="E228" t="s">
        <v>50</v>
      </c>
      <c r="F228" t="s">
        <v>17</v>
      </c>
      <c r="G228" t="s">
        <v>26</v>
      </c>
      <c r="H228" t="s">
        <v>24</v>
      </c>
      <c r="I228" t="s">
        <v>19</v>
      </c>
      <c r="J228" t="s">
        <v>25</v>
      </c>
    </row>
    <row r="229" spans="1:15">
      <c r="A229" t="s">
        <v>36</v>
      </c>
      <c r="B229">
        <f t="shared" si="13"/>
        <v>2.3923444976076555E-2</v>
      </c>
      <c r="C229">
        <f t="shared" si="14"/>
        <v>4.784688995215311E-2</v>
      </c>
      <c r="D229">
        <v>0</v>
      </c>
      <c r="E229" t="s">
        <v>50</v>
      </c>
      <c r="F229" t="s">
        <v>22</v>
      </c>
      <c r="G229" t="s">
        <v>25</v>
      </c>
      <c r="H229" t="s">
        <v>17</v>
      </c>
      <c r="I229" t="s">
        <v>18</v>
      </c>
      <c r="J229" t="s">
        <v>23</v>
      </c>
    </row>
    <row r="230" spans="1:15">
      <c r="A230" t="s">
        <v>36</v>
      </c>
      <c r="B230">
        <f t="shared" si="13"/>
        <v>2.3923444976076555E-2</v>
      </c>
      <c r="C230">
        <f t="shared" si="14"/>
        <v>4.784688995215311E-2</v>
      </c>
      <c r="D230">
        <v>-0.1</v>
      </c>
      <c r="E230" t="s">
        <v>50</v>
      </c>
      <c r="F230" t="s">
        <v>22</v>
      </c>
      <c r="G230" t="s">
        <v>18</v>
      </c>
      <c r="H230" t="s">
        <v>25</v>
      </c>
      <c r="I230" t="s">
        <v>26</v>
      </c>
      <c r="J230" t="s">
        <v>24</v>
      </c>
    </row>
    <row r="231" spans="1:15">
      <c r="A231" t="s">
        <v>36</v>
      </c>
      <c r="B231">
        <f t="shared" si="13"/>
        <v>2.3923444976076555E-2</v>
      </c>
      <c r="C231">
        <f t="shared" si="14"/>
        <v>4.784688995215311E-2</v>
      </c>
      <c r="D231">
        <v>-0.2</v>
      </c>
      <c r="E231" t="s">
        <v>50</v>
      </c>
      <c r="F231" t="s">
        <v>25</v>
      </c>
      <c r="G231" t="s">
        <v>18</v>
      </c>
      <c r="H231" t="s">
        <v>17</v>
      </c>
      <c r="I231" t="s">
        <v>20</v>
      </c>
      <c r="J231" t="s">
        <v>26</v>
      </c>
    </row>
    <row r="232" spans="1:15">
      <c r="A232" t="s">
        <v>36</v>
      </c>
      <c r="B232">
        <f t="shared" si="13"/>
        <v>2.3923444976076555E-2</v>
      </c>
      <c r="C232">
        <f t="shared" si="14"/>
        <v>4.784688995215311E-2</v>
      </c>
      <c r="D232">
        <v>-0.3</v>
      </c>
      <c r="E232" t="s">
        <v>50</v>
      </c>
      <c r="F232" t="s">
        <v>19</v>
      </c>
      <c r="G232" t="s">
        <v>25</v>
      </c>
      <c r="H232" t="s">
        <v>22</v>
      </c>
      <c r="I232" t="s">
        <v>23</v>
      </c>
      <c r="J232" t="s">
        <v>18</v>
      </c>
    </row>
    <row r="233" spans="1:15">
      <c r="A233" t="s">
        <v>37</v>
      </c>
      <c r="B233">
        <f>1/3.2</f>
        <v>0.3125</v>
      </c>
      <c r="C233">
        <f>0.5/3.2</f>
        <v>0.15625</v>
      </c>
      <c r="D233">
        <v>1.7</v>
      </c>
      <c r="E233" t="s">
        <v>50</v>
      </c>
      <c r="F233" t="s">
        <v>21</v>
      </c>
      <c r="G233" t="s">
        <v>25</v>
      </c>
      <c r="H233" t="s">
        <v>19</v>
      </c>
      <c r="I233" t="s">
        <v>22</v>
      </c>
      <c r="J233" t="s">
        <v>17</v>
      </c>
      <c r="K233" t="s">
        <v>21</v>
      </c>
      <c r="L233" t="s">
        <v>25</v>
      </c>
      <c r="M233" t="s">
        <v>19</v>
      </c>
      <c r="N233" t="s">
        <v>22</v>
      </c>
      <c r="O233" t="s">
        <v>17</v>
      </c>
    </row>
    <row r="234" spans="1:15">
      <c r="A234" t="s">
        <v>37</v>
      </c>
      <c r="B234">
        <f t="shared" ref="B234:B253" si="15">1/3.2</f>
        <v>0.3125</v>
      </c>
      <c r="C234">
        <f t="shared" ref="C234:C253" si="16">0.5/3.2</f>
        <v>0.15625</v>
      </c>
      <c r="D234">
        <v>1.6</v>
      </c>
      <c r="E234" t="s">
        <v>50</v>
      </c>
      <c r="F234" t="s">
        <v>17</v>
      </c>
      <c r="G234" t="s">
        <v>25</v>
      </c>
      <c r="H234" t="s">
        <v>20</v>
      </c>
      <c r="I234" t="s">
        <v>26</v>
      </c>
      <c r="J234" t="s">
        <v>24</v>
      </c>
      <c r="K234" t="s">
        <v>17</v>
      </c>
      <c r="L234" t="s">
        <v>25</v>
      </c>
      <c r="M234" t="s">
        <v>20</v>
      </c>
      <c r="N234" t="s">
        <v>26</v>
      </c>
      <c r="O234" t="s">
        <v>24</v>
      </c>
    </row>
    <row r="235" spans="1:15">
      <c r="A235" t="s">
        <v>37</v>
      </c>
      <c r="B235">
        <f t="shared" si="15"/>
        <v>0.3125</v>
      </c>
      <c r="C235">
        <f t="shared" si="16"/>
        <v>0.15625</v>
      </c>
      <c r="D235">
        <v>1.5</v>
      </c>
      <c r="E235" t="s">
        <v>50</v>
      </c>
      <c r="F235" t="s">
        <v>21</v>
      </c>
      <c r="G235" t="s">
        <v>22</v>
      </c>
      <c r="H235" t="s">
        <v>26</v>
      </c>
      <c r="I235" t="s">
        <v>20</v>
      </c>
      <c r="J235" t="s">
        <v>18</v>
      </c>
      <c r="K235" t="s">
        <v>21</v>
      </c>
      <c r="L235" t="s">
        <v>22</v>
      </c>
      <c r="M235" t="s">
        <v>26</v>
      </c>
      <c r="N235" t="s">
        <v>20</v>
      </c>
      <c r="O235" t="s">
        <v>18</v>
      </c>
    </row>
    <row r="236" spans="1:15">
      <c r="A236" t="s">
        <v>37</v>
      </c>
      <c r="B236">
        <f t="shared" si="15"/>
        <v>0.3125</v>
      </c>
      <c r="C236">
        <f t="shared" si="16"/>
        <v>0.15625</v>
      </c>
      <c r="D236">
        <v>1.4</v>
      </c>
      <c r="E236" t="s">
        <v>50</v>
      </c>
      <c r="F236" t="s">
        <v>26</v>
      </c>
      <c r="G236" t="s">
        <v>17</v>
      </c>
      <c r="H236" t="s">
        <v>21</v>
      </c>
      <c r="I236" t="s">
        <v>20</v>
      </c>
      <c r="J236" t="s">
        <v>18</v>
      </c>
      <c r="K236" t="s">
        <v>26</v>
      </c>
      <c r="L236" t="s">
        <v>17</v>
      </c>
      <c r="M236" t="s">
        <v>21</v>
      </c>
      <c r="N236" t="s">
        <v>20</v>
      </c>
      <c r="O236" t="s">
        <v>18</v>
      </c>
    </row>
    <row r="237" spans="1:15">
      <c r="A237" t="s">
        <v>37</v>
      </c>
      <c r="B237">
        <f t="shared" si="15"/>
        <v>0.3125</v>
      </c>
      <c r="C237">
        <f t="shared" si="16"/>
        <v>0.15625</v>
      </c>
      <c r="D237">
        <v>1.3</v>
      </c>
      <c r="E237" t="s">
        <v>50</v>
      </c>
      <c r="F237" t="s">
        <v>26</v>
      </c>
      <c r="G237" t="s">
        <v>25</v>
      </c>
      <c r="H237" t="s">
        <v>20</v>
      </c>
      <c r="I237" t="s">
        <v>21</v>
      </c>
      <c r="J237" t="s">
        <v>24</v>
      </c>
      <c r="K237" t="s">
        <v>26</v>
      </c>
      <c r="L237" t="s">
        <v>25</v>
      </c>
      <c r="M237" t="s">
        <v>20</v>
      </c>
      <c r="N237" t="s">
        <v>21</v>
      </c>
      <c r="O237" t="s">
        <v>24</v>
      </c>
    </row>
    <row r="238" spans="1:15">
      <c r="A238" t="s">
        <v>37</v>
      </c>
      <c r="B238">
        <f t="shared" si="15"/>
        <v>0.3125</v>
      </c>
      <c r="C238">
        <f t="shared" si="16"/>
        <v>0.15625</v>
      </c>
      <c r="D238">
        <v>1.2</v>
      </c>
      <c r="E238" t="s">
        <v>50</v>
      </c>
      <c r="F238" t="s">
        <v>23</v>
      </c>
      <c r="G238" t="s">
        <v>19</v>
      </c>
      <c r="H238" t="s">
        <v>24</v>
      </c>
      <c r="I238" t="s">
        <v>22</v>
      </c>
      <c r="J238" t="s">
        <v>17</v>
      </c>
      <c r="K238" t="s">
        <v>23</v>
      </c>
      <c r="L238" t="s">
        <v>19</v>
      </c>
      <c r="M238" t="s">
        <v>24</v>
      </c>
      <c r="N238" t="s">
        <v>22</v>
      </c>
      <c r="O238" t="s">
        <v>17</v>
      </c>
    </row>
    <row r="239" spans="1:15">
      <c r="A239" t="s">
        <v>37</v>
      </c>
      <c r="B239">
        <f t="shared" si="15"/>
        <v>0.3125</v>
      </c>
      <c r="C239">
        <f t="shared" si="16"/>
        <v>0.15625</v>
      </c>
      <c r="D239">
        <v>1.1000000000000001</v>
      </c>
      <c r="E239" t="s">
        <v>50</v>
      </c>
      <c r="F239" t="s">
        <v>19</v>
      </c>
      <c r="G239" t="s">
        <v>22</v>
      </c>
      <c r="H239" t="s">
        <v>20</v>
      </c>
      <c r="I239" t="s">
        <v>23</v>
      </c>
      <c r="J239" t="s">
        <v>25</v>
      </c>
      <c r="K239" t="s">
        <v>19</v>
      </c>
      <c r="L239" t="s">
        <v>22</v>
      </c>
      <c r="M239" t="s">
        <v>20</v>
      </c>
      <c r="N239" t="s">
        <v>23</v>
      </c>
      <c r="O239" t="s">
        <v>25</v>
      </c>
    </row>
    <row r="240" spans="1:15">
      <c r="A240" t="s">
        <v>37</v>
      </c>
      <c r="B240">
        <f t="shared" si="15"/>
        <v>0.3125</v>
      </c>
      <c r="C240">
        <f t="shared" si="16"/>
        <v>0.15625</v>
      </c>
      <c r="D240">
        <v>1</v>
      </c>
      <c r="E240" t="s">
        <v>50</v>
      </c>
      <c r="F240" t="s">
        <v>26</v>
      </c>
      <c r="G240" t="s">
        <v>20</v>
      </c>
      <c r="H240" t="s">
        <v>17</v>
      </c>
      <c r="I240" t="s">
        <v>22</v>
      </c>
      <c r="J240" t="s">
        <v>21</v>
      </c>
      <c r="K240" t="s">
        <v>26</v>
      </c>
      <c r="L240" t="s">
        <v>20</v>
      </c>
      <c r="M240" t="s">
        <v>17</v>
      </c>
      <c r="N240" t="s">
        <v>22</v>
      </c>
      <c r="O240" t="s">
        <v>21</v>
      </c>
    </row>
    <row r="241" spans="1:15">
      <c r="A241" t="s">
        <v>37</v>
      </c>
      <c r="B241">
        <f t="shared" si="15"/>
        <v>0.3125</v>
      </c>
      <c r="C241">
        <f t="shared" si="16"/>
        <v>0.15625</v>
      </c>
      <c r="D241">
        <v>0.90000000000000102</v>
      </c>
      <c r="E241" t="s">
        <v>50</v>
      </c>
      <c r="F241" t="s">
        <v>22</v>
      </c>
      <c r="G241" t="s">
        <v>21</v>
      </c>
      <c r="H241" t="s">
        <v>24</v>
      </c>
      <c r="I241" t="s">
        <v>19</v>
      </c>
      <c r="J241" t="s">
        <v>20</v>
      </c>
      <c r="K241" t="s">
        <v>22</v>
      </c>
      <c r="L241" t="s">
        <v>21</v>
      </c>
      <c r="M241" t="s">
        <v>24</v>
      </c>
      <c r="N241" t="s">
        <v>19</v>
      </c>
      <c r="O241" t="s">
        <v>20</v>
      </c>
    </row>
    <row r="242" spans="1:15">
      <c r="A242" t="s">
        <v>37</v>
      </c>
      <c r="B242">
        <f t="shared" si="15"/>
        <v>0.3125</v>
      </c>
      <c r="C242">
        <f t="shared" si="16"/>
        <v>0.15625</v>
      </c>
      <c r="D242">
        <v>0.80000000000000104</v>
      </c>
      <c r="E242" t="s">
        <v>50</v>
      </c>
      <c r="F242" t="s">
        <v>18</v>
      </c>
      <c r="G242" t="s">
        <v>23</v>
      </c>
      <c r="H242" t="s">
        <v>24</v>
      </c>
      <c r="I242" t="s">
        <v>17</v>
      </c>
      <c r="J242" t="s">
        <v>22</v>
      </c>
      <c r="K242" t="s">
        <v>18</v>
      </c>
      <c r="L242" t="s">
        <v>23</v>
      </c>
      <c r="M242" t="s">
        <v>24</v>
      </c>
      <c r="N242" t="s">
        <v>17</v>
      </c>
      <c r="O242" t="s">
        <v>22</v>
      </c>
    </row>
    <row r="243" spans="1:15">
      <c r="A243" t="s">
        <v>37</v>
      </c>
      <c r="B243">
        <f t="shared" si="15"/>
        <v>0.3125</v>
      </c>
      <c r="C243">
        <f t="shared" si="16"/>
        <v>0.15625</v>
      </c>
      <c r="D243">
        <v>0.70000000000000095</v>
      </c>
      <c r="E243" t="s">
        <v>50</v>
      </c>
      <c r="F243" t="s">
        <v>24</v>
      </c>
      <c r="G243" t="s">
        <v>21</v>
      </c>
      <c r="H243" t="s">
        <v>26</v>
      </c>
      <c r="I243" t="s">
        <v>18</v>
      </c>
      <c r="J243" t="s">
        <v>17</v>
      </c>
      <c r="K243" t="s">
        <v>24</v>
      </c>
      <c r="L243" t="s">
        <v>21</v>
      </c>
      <c r="M243" t="s">
        <v>26</v>
      </c>
      <c r="N243" t="s">
        <v>18</v>
      </c>
      <c r="O243" t="s">
        <v>17</v>
      </c>
    </row>
    <row r="244" spans="1:15">
      <c r="A244" t="s">
        <v>37</v>
      </c>
      <c r="B244">
        <f t="shared" si="15"/>
        <v>0.3125</v>
      </c>
      <c r="C244">
        <f t="shared" si="16"/>
        <v>0.15625</v>
      </c>
      <c r="D244">
        <v>0.6</v>
      </c>
      <c r="E244" t="s">
        <v>50</v>
      </c>
      <c r="F244" t="s">
        <v>21</v>
      </c>
      <c r="G244" t="s">
        <v>22</v>
      </c>
      <c r="H244" t="s">
        <v>24</v>
      </c>
      <c r="I244" t="s">
        <v>26</v>
      </c>
      <c r="J244" t="s">
        <v>25</v>
      </c>
      <c r="K244" t="s">
        <v>21</v>
      </c>
      <c r="L244" t="s">
        <v>22</v>
      </c>
      <c r="M244" t="s">
        <v>24</v>
      </c>
      <c r="N244" t="s">
        <v>26</v>
      </c>
      <c r="O244" t="s">
        <v>25</v>
      </c>
    </row>
    <row r="245" spans="1:15">
      <c r="A245" t="s">
        <v>37</v>
      </c>
      <c r="B245">
        <f t="shared" si="15"/>
        <v>0.3125</v>
      </c>
      <c r="C245">
        <f t="shared" si="16"/>
        <v>0.15625</v>
      </c>
      <c r="D245">
        <v>0.5</v>
      </c>
      <c r="E245" t="s">
        <v>50</v>
      </c>
      <c r="F245" t="s">
        <v>23</v>
      </c>
      <c r="G245" t="s">
        <v>18</v>
      </c>
      <c r="H245" t="s">
        <v>20</v>
      </c>
      <c r="I245" t="s">
        <v>17</v>
      </c>
      <c r="J245" t="s">
        <v>26</v>
      </c>
      <c r="K245" t="s">
        <v>23</v>
      </c>
      <c r="L245" t="s">
        <v>18</v>
      </c>
      <c r="M245" t="s">
        <v>20</v>
      </c>
      <c r="N245" t="s">
        <v>17</v>
      </c>
      <c r="O245" t="s">
        <v>26</v>
      </c>
    </row>
    <row r="246" spans="1:15">
      <c r="A246" t="s">
        <v>37</v>
      </c>
      <c r="B246">
        <f t="shared" si="15"/>
        <v>0.3125</v>
      </c>
      <c r="C246">
        <f t="shared" si="16"/>
        <v>0.15625</v>
      </c>
      <c r="D246">
        <v>0.4</v>
      </c>
      <c r="E246" t="s">
        <v>50</v>
      </c>
      <c r="F246" t="s">
        <v>26</v>
      </c>
      <c r="G246" t="s">
        <v>18</v>
      </c>
      <c r="H246" t="s">
        <v>23</v>
      </c>
      <c r="I246" t="s">
        <v>22</v>
      </c>
      <c r="J246" t="s">
        <v>24</v>
      </c>
      <c r="K246" t="s">
        <v>26</v>
      </c>
      <c r="L246" t="s">
        <v>18</v>
      </c>
      <c r="M246" t="s">
        <v>23</v>
      </c>
      <c r="N246" t="s">
        <v>22</v>
      </c>
      <c r="O246" t="s">
        <v>24</v>
      </c>
    </row>
    <row r="247" spans="1:15">
      <c r="A247" t="s">
        <v>37</v>
      </c>
      <c r="B247">
        <f t="shared" si="15"/>
        <v>0.3125</v>
      </c>
      <c r="C247">
        <f t="shared" si="16"/>
        <v>0.15625</v>
      </c>
      <c r="D247">
        <v>0.3</v>
      </c>
      <c r="E247" t="s">
        <v>50</v>
      </c>
      <c r="F247" t="s">
        <v>25</v>
      </c>
      <c r="G247" t="s">
        <v>20</v>
      </c>
      <c r="H247" t="s">
        <v>19</v>
      </c>
      <c r="I247" t="s">
        <v>23</v>
      </c>
      <c r="J247" t="s">
        <v>22</v>
      </c>
      <c r="M247" t="s">
        <v>19</v>
      </c>
      <c r="N247" t="s">
        <v>23</v>
      </c>
      <c r="O247" t="s">
        <v>22</v>
      </c>
    </row>
    <row r="248" spans="1:15">
      <c r="A248" t="s">
        <v>37</v>
      </c>
      <c r="B248">
        <f t="shared" si="15"/>
        <v>0.3125</v>
      </c>
      <c r="C248">
        <f t="shared" si="16"/>
        <v>0.15625</v>
      </c>
      <c r="D248">
        <v>0.2</v>
      </c>
      <c r="E248" t="s">
        <v>50</v>
      </c>
      <c r="F248" t="s">
        <v>24</v>
      </c>
      <c r="G248" t="s">
        <v>26</v>
      </c>
      <c r="H248" t="s">
        <v>17</v>
      </c>
      <c r="I248" t="s">
        <v>25</v>
      </c>
      <c r="J248" t="s">
        <v>20</v>
      </c>
    </row>
    <row r="249" spans="1:15">
      <c r="A249" t="s">
        <v>37</v>
      </c>
      <c r="B249">
        <f t="shared" si="15"/>
        <v>0.3125</v>
      </c>
      <c r="C249">
        <f t="shared" si="16"/>
        <v>0.15625</v>
      </c>
      <c r="D249">
        <v>9.9999999999999895E-2</v>
      </c>
      <c r="E249" t="s">
        <v>50</v>
      </c>
      <c r="F249" t="s">
        <v>19</v>
      </c>
      <c r="G249" t="s">
        <v>22</v>
      </c>
      <c r="H249" t="s">
        <v>17</v>
      </c>
      <c r="I249" t="s">
        <v>23</v>
      </c>
      <c r="J249" t="s">
        <v>20</v>
      </c>
    </row>
    <row r="250" spans="1:15">
      <c r="A250" t="s">
        <v>37</v>
      </c>
      <c r="B250">
        <f t="shared" si="15"/>
        <v>0.3125</v>
      </c>
      <c r="C250">
        <f t="shared" si="16"/>
        <v>0.15625</v>
      </c>
      <c r="D250">
        <v>0</v>
      </c>
      <c r="E250" t="s">
        <v>50</v>
      </c>
      <c r="F250" t="s">
        <v>17</v>
      </c>
      <c r="G250" t="s">
        <v>18</v>
      </c>
      <c r="H250" t="s">
        <v>21</v>
      </c>
      <c r="I250" t="s">
        <v>24</v>
      </c>
      <c r="J250" t="s">
        <v>26</v>
      </c>
    </row>
    <row r="251" spans="1:15">
      <c r="A251" t="s">
        <v>37</v>
      </c>
      <c r="B251">
        <f t="shared" si="15"/>
        <v>0.3125</v>
      </c>
      <c r="C251">
        <f t="shared" si="16"/>
        <v>0.15625</v>
      </c>
      <c r="D251">
        <v>-0.1</v>
      </c>
      <c r="E251" t="s">
        <v>50</v>
      </c>
      <c r="F251" t="s">
        <v>18</v>
      </c>
      <c r="G251" t="s">
        <v>22</v>
      </c>
      <c r="H251" t="s">
        <v>26</v>
      </c>
      <c r="I251" t="s">
        <v>24</v>
      </c>
      <c r="J251" t="s">
        <v>17</v>
      </c>
    </row>
    <row r="252" spans="1:15">
      <c r="A252" t="s">
        <v>37</v>
      </c>
      <c r="B252">
        <f t="shared" si="15"/>
        <v>0.3125</v>
      </c>
      <c r="C252">
        <f t="shared" si="16"/>
        <v>0.15625</v>
      </c>
      <c r="D252">
        <v>-0.2</v>
      </c>
      <c r="E252" t="s">
        <v>50</v>
      </c>
      <c r="F252" t="s">
        <v>19</v>
      </c>
      <c r="G252" t="s">
        <v>26</v>
      </c>
      <c r="H252" t="s">
        <v>24</v>
      </c>
      <c r="I252" t="s">
        <v>22</v>
      </c>
      <c r="J252" t="s">
        <v>21</v>
      </c>
    </row>
    <row r="253" spans="1:15">
      <c r="A253" t="s">
        <v>37</v>
      </c>
      <c r="B253">
        <f t="shared" si="15"/>
        <v>0.3125</v>
      </c>
      <c r="C253">
        <f t="shared" si="16"/>
        <v>0.15625</v>
      </c>
      <c r="D253">
        <v>-0.3</v>
      </c>
      <c r="E253" t="s">
        <v>50</v>
      </c>
      <c r="F253" t="s">
        <v>23</v>
      </c>
      <c r="G253" t="s">
        <v>26</v>
      </c>
      <c r="H253" t="s">
        <v>24</v>
      </c>
      <c r="I253" t="s">
        <v>25</v>
      </c>
      <c r="J253" t="s">
        <v>21</v>
      </c>
    </row>
    <row r="254" spans="1:15">
      <c r="A254" t="s">
        <v>38</v>
      </c>
      <c r="B254">
        <f>1/5.83</f>
        <v>0.17152658662092624</v>
      </c>
      <c r="C254">
        <f>0.5/5.83</f>
        <v>8.5763293310463118E-2</v>
      </c>
      <c r="D254">
        <v>1.7</v>
      </c>
      <c r="E254" t="s">
        <v>50</v>
      </c>
      <c r="F254" t="s">
        <v>26</v>
      </c>
      <c r="G254" t="s">
        <v>23</v>
      </c>
      <c r="H254" t="s">
        <v>22</v>
      </c>
      <c r="I254" t="s">
        <v>25</v>
      </c>
      <c r="J254" t="s">
        <v>24</v>
      </c>
      <c r="K254" t="s">
        <v>26</v>
      </c>
      <c r="L254" t="s">
        <v>23</v>
      </c>
      <c r="M254" t="s">
        <v>22</v>
      </c>
      <c r="N254" t="s">
        <v>25</v>
      </c>
      <c r="O254" t="s">
        <v>24</v>
      </c>
    </row>
    <row r="255" spans="1:15">
      <c r="A255" t="s">
        <v>38</v>
      </c>
      <c r="B255">
        <f t="shared" ref="B255:B274" si="17">1/5.83</f>
        <v>0.17152658662092624</v>
      </c>
      <c r="C255">
        <f t="shared" ref="C255:C274" si="18">0.5/5.83</f>
        <v>8.5763293310463118E-2</v>
      </c>
      <c r="D255">
        <v>1.6</v>
      </c>
      <c r="E255" t="s">
        <v>50</v>
      </c>
      <c r="F255" t="s">
        <v>21</v>
      </c>
      <c r="G255" t="s">
        <v>22</v>
      </c>
      <c r="H255" t="s">
        <v>23</v>
      </c>
      <c r="I255" t="s">
        <v>18</v>
      </c>
      <c r="J255" t="s">
        <v>19</v>
      </c>
      <c r="K255" t="s">
        <v>21</v>
      </c>
      <c r="L255" t="s">
        <v>22</v>
      </c>
      <c r="M255" t="s">
        <v>23</v>
      </c>
      <c r="N255" t="s">
        <v>18</v>
      </c>
      <c r="O255" t="s">
        <v>19</v>
      </c>
    </row>
    <row r="256" spans="1:15">
      <c r="A256" t="s">
        <v>38</v>
      </c>
      <c r="B256">
        <f t="shared" si="17"/>
        <v>0.17152658662092624</v>
      </c>
      <c r="C256">
        <f t="shared" si="18"/>
        <v>8.5763293310463118E-2</v>
      </c>
      <c r="D256">
        <v>1.5</v>
      </c>
      <c r="E256" t="s">
        <v>50</v>
      </c>
      <c r="F256" t="s">
        <v>25</v>
      </c>
      <c r="G256" t="s">
        <v>20</v>
      </c>
      <c r="H256" t="s">
        <v>17</v>
      </c>
      <c r="I256" t="s">
        <v>21</v>
      </c>
      <c r="J256" t="s">
        <v>22</v>
      </c>
      <c r="K256" t="s">
        <v>25</v>
      </c>
      <c r="L256" t="s">
        <v>20</v>
      </c>
      <c r="M256" t="s">
        <v>17</v>
      </c>
      <c r="N256" t="s">
        <v>21</v>
      </c>
      <c r="O256" t="s">
        <v>22</v>
      </c>
    </row>
    <row r="257" spans="1:15">
      <c r="A257" t="s">
        <v>38</v>
      </c>
      <c r="B257">
        <f t="shared" si="17"/>
        <v>0.17152658662092624</v>
      </c>
      <c r="C257">
        <f t="shared" si="18"/>
        <v>8.5763293310463118E-2</v>
      </c>
      <c r="D257">
        <v>1.4</v>
      </c>
      <c r="E257" t="s">
        <v>50</v>
      </c>
      <c r="F257" t="s">
        <v>25</v>
      </c>
      <c r="G257" t="s">
        <v>17</v>
      </c>
      <c r="H257" t="s">
        <v>26</v>
      </c>
      <c r="I257" t="s">
        <v>23</v>
      </c>
      <c r="J257" t="s">
        <v>18</v>
      </c>
      <c r="K257" t="s">
        <v>25</v>
      </c>
      <c r="L257" t="s">
        <v>17</v>
      </c>
      <c r="M257" t="s">
        <v>26</v>
      </c>
      <c r="N257" t="s">
        <v>23</v>
      </c>
      <c r="O257" t="s">
        <v>18</v>
      </c>
    </row>
    <row r="258" spans="1:15">
      <c r="A258" t="s">
        <v>38</v>
      </c>
      <c r="B258">
        <f t="shared" si="17"/>
        <v>0.17152658662092624</v>
      </c>
      <c r="C258">
        <f t="shared" si="18"/>
        <v>8.5763293310463118E-2</v>
      </c>
      <c r="D258">
        <v>1.3</v>
      </c>
      <c r="E258" t="s">
        <v>50</v>
      </c>
      <c r="F258" t="s">
        <v>19</v>
      </c>
      <c r="G258" t="s">
        <v>26</v>
      </c>
      <c r="H258" t="s">
        <v>25</v>
      </c>
      <c r="I258" t="s">
        <v>22</v>
      </c>
      <c r="J258" t="s">
        <v>21</v>
      </c>
      <c r="K258" t="s">
        <v>19</v>
      </c>
      <c r="L258" t="s">
        <v>26</v>
      </c>
      <c r="M258" t="s">
        <v>25</v>
      </c>
      <c r="N258" t="s">
        <v>22</v>
      </c>
      <c r="O258" t="s">
        <v>21</v>
      </c>
    </row>
    <row r="259" spans="1:15">
      <c r="A259" t="s">
        <v>38</v>
      </c>
      <c r="B259">
        <f t="shared" si="17"/>
        <v>0.17152658662092624</v>
      </c>
      <c r="C259">
        <f t="shared" si="18"/>
        <v>8.5763293310463118E-2</v>
      </c>
      <c r="D259">
        <v>1.2</v>
      </c>
      <c r="E259" t="s">
        <v>50</v>
      </c>
      <c r="F259" t="s">
        <v>17</v>
      </c>
      <c r="G259" t="s">
        <v>22</v>
      </c>
      <c r="H259" t="s">
        <v>18</v>
      </c>
      <c r="I259" t="s">
        <v>25</v>
      </c>
      <c r="J259" t="s">
        <v>26</v>
      </c>
      <c r="K259" t="s">
        <v>17</v>
      </c>
      <c r="L259" t="s">
        <v>22</v>
      </c>
      <c r="M259" t="s">
        <v>18</v>
      </c>
      <c r="N259" t="s">
        <v>25</v>
      </c>
      <c r="O259" t="s">
        <v>26</v>
      </c>
    </row>
    <row r="260" spans="1:15">
      <c r="A260" t="s">
        <v>38</v>
      </c>
      <c r="B260">
        <f t="shared" si="17"/>
        <v>0.17152658662092624</v>
      </c>
      <c r="C260">
        <f t="shared" si="18"/>
        <v>8.5763293310463118E-2</v>
      </c>
      <c r="D260">
        <v>1.1000000000000001</v>
      </c>
      <c r="E260" t="s">
        <v>50</v>
      </c>
      <c r="F260" t="s">
        <v>25</v>
      </c>
      <c r="G260" t="s">
        <v>19</v>
      </c>
      <c r="H260" t="s">
        <v>24</v>
      </c>
      <c r="I260" t="s">
        <v>26</v>
      </c>
      <c r="J260" t="s">
        <v>23</v>
      </c>
      <c r="K260" t="s">
        <v>25</v>
      </c>
      <c r="L260" t="s">
        <v>19</v>
      </c>
      <c r="M260" t="s">
        <v>24</v>
      </c>
      <c r="N260" t="s">
        <v>26</v>
      </c>
      <c r="O260" t="s">
        <v>23</v>
      </c>
    </row>
    <row r="261" spans="1:15">
      <c r="A261" t="s">
        <v>38</v>
      </c>
      <c r="B261">
        <f t="shared" si="17"/>
        <v>0.17152658662092624</v>
      </c>
      <c r="C261">
        <f t="shared" si="18"/>
        <v>8.5763293310463118E-2</v>
      </c>
      <c r="D261">
        <v>1</v>
      </c>
      <c r="E261" t="s">
        <v>50</v>
      </c>
      <c r="F261" t="s">
        <v>22</v>
      </c>
      <c r="G261" t="s">
        <v>21</v>
      </c>
      <c r="H261" t="s">
        <v>26</v>
      </c>
      <c r="I261" t="s">
        <v>20</v>
      </c>
      <c r="J261" t="s">
        <v>17</v>
      </c>
      <c r="K261" t="s">
        <v>22</v>
      </c>
      <c r="L261" t="s">
        <v>21</v>
      </c>
      <c r="M261" t="s">
        <v>26</v>
      </c>
      <c r="N261" t="s">
        <v>20</v>
      </c>
      <c r="O261" t="s">
        <v>17</v>
      </c>
    </row>
    <row r="262" spans="1:15">
      <c r="A262" t="s">
        <v>38</v>
      </c>
      <c r="B262">
        <f t="shared" si="17"/>
        <v>0.17152658662092624</v>
      </c>
      <c r="C262">
        <f t="shared" si="18"/>
        <v>8.5763293310463118E-2</v>
      </c>
      <c r="D262">
        <v>0.90000000000000102</v>
      </c>
      <c r="E262" t="s">
        <v>50</v>
      </c>
      <c r="F262" t="s">
        <v>26</v>
      </c>
      <c r="G262" t="s">
        <v>18</v>
      </c>
      <c r="H262" t="s">
        <v>19</v>
      </c>
      <c r="I262" t="s">
        <v>21</v>
      </c>
      <c r="J262" t="s">
        <v>23</v>
      </c>
      <c r="K262" t="s">
        <v>26</v>
      </c>
      <c r="L262" t="s">
        <v>18</v>
      </c>
      <c r="M262" t="s">
        <v>19</v>
      </c>
      <c r="N262" t="s">
        <v>21</v>
      </c>
      <c r="O262" t="s">
        <v>23</v>
      </c>
    </row>
    <row r="263" spans="1:15">
      <c r="A263" t="s">
        <v>38</v>
      </c>
      <c r="B263">
        <f t="shared" si="17"/>
        <v>0.17152658662092624</v>
      </c>
      <c r="C263">
        <f t="shared" si="18"/>
        <v>8.5763293310463118E-2</v>
      </c>
      <c r="D263">
        <v>0.80000000000000104</v>
      </c>
      <c r="E263" t="s">
        <v>50</v>
      </c>
      <c r="F263" t="s">
        <v>21</v>
      </c>
      <c r="G263" t="s">
        <v>26</v>
      </c>
      <c r="H263" t="s">
        <v>18</v>
      </c>
      <c r="I263" t="s">
        <v>22</v>
      </c>
      <c r="J263" t="s">
        <v>20</v>
      </c>
      <c r="K263" t="s">
        <v>21</v>
      </c>
      <c r="L263" t="s">
        <v>26</v>
      </c>
      <c r="M263" t="s">
        <v>18</v>
      </c>
      <c r="N263" t="s">
        <v>22</v>
      </c>
      <c r="O263" t="s">
        <v>20</v>
      </c>
    </row>
    <row r="264" spans="1:15">
      <c r="A264" t="s">
        <v>38</v>
      </c>
      <c r="B264">
        <f t="shared" si="17"/>
        <v>0.17152658662092624</v>
      </c>
      <c r="C264">
        <f t="shared" si="18"/>
        <v>8.5763293310463118E-2</v>
      </c>
      <c r="D264">
        <v>0.70000000000000095</v>
      </c>
      <c r="E264" t="s">
        <v>50</v>
      </c>
      <c r="F264" t="s">
        <v>25</v>
      </c>
      <c r="G264" t="s">
        <v>23</v>
      </c>
      <c r="H264" t="s">
        <v>17</v>
      </c>
      <c r="I264" t="s">
        <v>22</v>
      </c>
      <c r="J264" t="s">
        <v>19</v>
      </c>
      <c r="K264" t="s">
        <v>25</v>
      </c>
      <c r="L264" t="s">
        <v>23</v>
      </c>
      <c r="M264" t="s">
        <v>17</v>
      </c>
      <c r="N264" t="s">
        <v>22</v>
      </c>
      <c r="O264" t="s">
        <v>19</v>
      </c>
    </row>
    <row r="265" spans="1:15">
      <c r="A265" t="s">
        <v>38</v>
      </c>
      <c r="B265">
        <f t="shared" si="17"/>
        <v>0.17152658662092624</v>
      </c>
      <c r="C265">
        <f t="shared" si="18"/>
        <v>8.5763293310463118E-2</v>
      </c>
      <c r="D265">
        <v>0.6</v>
      </c>
      <c r="E265" t="s">
        <v>50</v>
      </c>
      <c r="F265" t="s">
        <v>26</v>
      </c>
      <c r="G265" t="s">
        <v>22</v>
      </c>
      <c r="H265" t="s">
        <v>20</v>
      </c>
      <c r="I265" t="s">
        <v>25</v>
      </c>
      <c r="J265" t="s">
        <v>18</v>
      </c>
      <c r="K265" t="s">
        <v>26</v>
      </c>
      <c r="L265" t="s">
        <v>22</v>
      </c>
      <c r="M265" t="s">
        <v>20</v>
      </c>
      <c r="N265" t="s">
        <v>25</v>
      </c>
      <c r="O265" t="s">
        <v>18</v>
      </c>
    </row>
    <row r="266" spans="1:15">
      <c r="A266" t="s">
        <v>38</v>
      </c>
      <c r="B266">
        <f t="shared" si="17"/>
        <v>0.17152658662092624</v>
      </c>
      <c r="C266">
        <f t="shared" si="18"/>
        <v>8.5763293310463118E-2</v>
      </c>
      <c r="D266">
        <v>0.5</v>
      </c>
      <c r="E266" t="s">
        <v>50</v>
      </c>
      <c r="F266" t="s">
        <v>25</v>
      </c>
      <c r="G266" t="s">
        <v>22</v>
      </c>
      <c r="H266" t="s">
        <v>26</v>
      </c>
      <c r="I266" t="s">
        <v>23</v>
      </c>
      <c r="J266" t="s">
        <v>24</v>
      </c>
    </row>
    <row r="267" spans="1:15">
      <c r="A267" t="s">
        <v>38</v>
      </c>
      <c r="B267">
        <f t="shared" si="17"/>
        <v>0.17152658662092624</v>
      </c>
      <c r="C267">
        <f t="shared" si="18"/>
        <v>8.5763293310463118E-2</v>
      </c>
      <c r="D267">
        <v>0.4</v>
      </c>
      <c r="E267" t="s">
        <v>50</v>
      </c>
      <c r="F267" t="s">
        <v>21</v>
      </c>
      <c r="G267" t="s">
        <v>23</v>
      </c>
      <c r="H267" t="s">
        <v>19</v>
      </c>
      <c r="I267" t="s">
        <v>25</v>
      </c>
      <c r="J267" t="s">
        <v>26</v>
      </c>
    </row>
    <row r="268" spans="1:15">
      <c r="A268" t="s">
        <v>38</v>
      </c>
      <c r="B268">
        <f t="shared" si="17"/>
        <v>0.17152658662092624</v>
      </c>
      <c r="C268">
        <f t="shared" si="18"/>
        <v>8.5763293310463118E-2</v>
      </c>
      <c r="D268">
        <v>0.3</v>
      </c>
      <c r="E268" t="s">
        <v>50</v>
      </c>
      <c r="F268" t="s">
        <v>22</v>
      </c>
      <c r="G268" t="s">
        <v>25</v>
      </c>
      <c r="H268" t="s">
        <v>24</v>
      </c>
      <c r="I268" t="s">
        <v>19</v>
      </c>
      <c r="J268" t="s">
        <v>20</v>
      </c>
    </row>
    <row r="269" spans="1:15">
      <c r="A269" t="s">
        <v>38</v>
      </c>
      <c r="B269">
        <f t="shared" si="17"/>
        <v>0.17152658662092624</v>
      </c>
      <c r="C269">
        <f t="shared" si="18"/>
        <v>8.5763293310463118E-2</v>
      </c>
      <c r="D269">
        <v>0.2</v>
      </c>
      <c r="E269" t="s">
        <v>50</v>
      </c>
      <c r="F269" t="s">
        <v>18</v>
      </c>
      <c r="G269" t="s">
        <v>21</v>
      </c>
      <c r="H269" t="s">
        <v>20</v>
      </c>
      <c r="I269" t="s">
        <v>19</v>
      </c>
      <c r="J269" t="s">
        <v>26</v>
      </c>
    </row>
    <row r="270" spans="1:15">
      <c r="A270" t="s">
        <v>38</v>
      </c>
      <c r="B270">
        <f t="shared" si="17"/>
        <v>0.17152658662092624</v>
      </c>
      <c r="C270">
        <f t="shared" si="18"/>
        <v>8.5763293310463118E-2</v>
      </c>
      <c r="D270">
        <v>9.9999999999999895E-2</v>
      </c>
      <c r="E270" t="s">
        <v>50</v>
      </c>
      <c r="F270" t="s">
        <v>18</v>
      </c>
      <c r="G270" t="s">
        <v>26</v>
      </c>
      <c r="H270" t="s">
        <v>17</v>
      </c>
      <c r="I270" t="s">
        <v>19</v>
      </c>
      <c r="J270" t="s">
        <v>25</v>
      </c>
    </row>
    <row r="271" spans="1:15">
      <c r="A271" t="s">
        <v>38</v>
      </c>
      <c r="B271">
        <f t="shared" si="17"/>
        <v>0.17152658662092624</v>
      </c>
      <c r="C271">
        <f t="shared" si="18"/>
        <v>8.5763293310463118E-2</v>
      </c>
      <c r="D271">
        <v>0</v>
      </c>
      <c r="E271" t="s">
        <v>50</v>
      </c>
      <c r="F271" t="s">
        <v>17</v>
      </c>
      <c r="G271" t="s">
        <v>20</v>
      </c>
      <c r="H271" t="s">
        <v>23</v>
      </c>
      <c r="I271" t="s">
        <v>25</v>
      </c>
      <c r="J271" t="s">
        <v>24</v>
      </c>
    </row>
    <row r="272" spans="1:15">
      <c r="A272" t="s">
        <v>38</v>
      </c>
      <c r="B272">
        <f t="shared" si="17"/>
        <v>0.17152658662092624</v>
      </c>
      <c r="C272">
        <f t="shared" si="18"/>
        <v>8.5763293310463118E-2</v>
      </c>
      <c r="D272">
        <v>-0.1</v>
      </c>
      <c r="E272" t="s">
        <v>50</v>
      </c>
      <c r="F272" t="s">
        <v>21</v>
      </c>
      <c r="G272" t="s">
        <v>22</v>
      </c>
      <c r="H272" t="s">
        <v>18</v>
      </c>
      <c r="I272" t="s">
        <v>23</v>
      </c>
      <c r="J272" t="s">
        <v>24</v>
      </c>
    </row>
    <row r="273" spans="1:15">
      <c r="A273" t="s">
        <v>38</v>
      </c>
      <c r="B273">
        <f t="shared" si="17"/>
        <v>0.17152658662092624</v>
      </c>
      <c r="C273">
        <f t="shared" si="18"/>
        <v>8.5763293310463118E-2</v>
      </c>
      <c r="D273">
        <v>-0.2</v>
      </c>
      <c r="E273" t="s">
        <v>50</v>
      </c>
      <c r="F273" t="s">
        <v>25</v>
      </c>
      <c r="G273" t="s">
        <v>26</v>
      </c>
      <c r="H273" t="s">
        <v>23</v>
      </c>
      <c r="I273" t="s">
        <v>19</v>
      </c>
      <c r="J273" t="s">
        <v>20</v>
      </c>
    </row>
    <row r="274" spans="1:15">
      <c r="A274" t="s">
        <v>38</v>
      </c>
      <c r="B274">
        <f t="shared" si="17"/>
        <v>0.17152658662092624</v>
      </c>
      <c r="C274">
        <f t="shared" si="18"/>
        <v>8.5763293310463118E-2</v>
      </c>
      <c r="D274">
        <v>-0.3</v>
      </c>
      <c r="E274" t="s">
        <v>50</v>
      </c>
      <c r="F274" t="s">
        <v>20</v>
      </c>
      <c r="G274" t="s">
        <v>25</v>
      </c>
      <c r="H274" t="s">
        <v>23</v>
      </c>
      <c r="I274" t="s">
        <v>19</v>
      </c>
      <c r="J274" t="s">
        <v>17</v>
      </c>
    </row>
    <row r="275" spans="1:15">
      <c r="A275" t="s">
        <v>39</v>
      </c>
      <c r="B275">
        <f>1/10.45</f>
        <v>9.569377990430622E-2</v>
      </c>
      <c r="C275">
        <f>0.5/10.45</f>
        <v>4.784688995215311E-2</v>
      </c>
      <c r="D275">
        <v>1.7</v>
      </c>
      <c r="E275" t="s">
        <v>50</v>
      </c>
      <c r="F275" t="s">
        <v>20</v>
      </c>
      <c r="G275" t="s">
        <v>25</v>
      </c>
      <c r="H275" t="s">
        <v>23</v>
      </c>
      <c r="I275" t="s">
        <v>21</v>
      </c>
      <c r="J275" t="s">
        <v>24</v>
      </c>
      <c r="K275" t="s">
        <v>20</v>
      </c>
      <c r="L275" t="s">
        <v>25</v>
      </c>
      <c r="M275" t="s">
        <v>23</v>
      </c>
      <c r="N275" t="s">
        <v>21</v>
      </c>
      <c r="O275" t="s">
        <v>24</v>
      </c>
    </row>
    <row r="276" spans="1:15">
      <c r="A276" t="s">
        <v>39</v>
      </c>
      <c r="B276">
        <f t="shared" ref="B276:B295" si="19">1/10.45</f>
        <v>9.569377990430622E-2</v>
      </c>
      <c r="C276">
        <f t="shared" ref="C276:C295" si="20">0.5/10.45</f>
        <v>4.784688995215311E-2</v>
      </c>
      <c r="D276">
        <v>1.6</v>
      </c>
      <c r="E276" t="s">
        <v>50</v>
      </c>
      <c r="F276" t="s">
        <v>18</v>
      </c>
      <c r="G276" t="s">
        <v>25</v>
      </c>
      <c r="H276" t="s">
        <v>26</v>
      </c>
      <c r="I276" t="s">
        <v>20</v>
      </c>
      <c r="J276" t="s">
        <v>24</v>
      </c>
      <c r="K276" t="s">
        <v>18</v>
      </c>
      <c r="L276" t="s">
        <v>25</v>
      </c>
      <c r="M276" t="s">
        <v>26</v>
      </c>
      <c r="N276" t="s">
        <v>20</v>
      </c>
      <c r="O276" t="s">
        <v>24</v>
      </c>
    </row>
    <row r="277" spans="1:15">
      <c r="A277" t="s">
        <v>39</v>
      </c>
      <c r="B277">
        <f t="shared" si="19"/>
        <v>9.569377990430622E-2</v>
      </c>
      <c r="C277">
        <f t="shared" si="20"/>
        <v>4.784688995215311E-2</v>
      </c>
      <c r="D277">
        <v>1.5</v>
      </c>
      <c r="E277" t="s">
        <v>50</v>
      </c>
      <c r="F277" t="s">
        <v>26</v>
      </c>
      <c r="G277" t="s">
        <v>19</v>
      </c>
      <c r="H277" t="s">
        <v>20</v>
      </c>
      <c r="I277" t="s">
        <v>23</v>
      </c>
      <c r="J277" t="s">
        <v>18</v>
      </c>
      <c r="K277" t="s">
        <v>26</v>
      </c>
      <c r="L277" t="s">
        <v>19</v>
      </c>
      <c r="M277" t="s">
        <v>20</v>
      </c>
      <c r="N277" t="s">
        <v>23</v>
      </c>
      <c r="O277" t="s">
        <v>18</v>
      </c>
    </row>
    <row r="278" spans="1:15">
      <c r="A278" t="s">
        <v>39</v>
      </c>
      <c r="B278">
        <f t="shared" si="19"/>
        <v>9.569377990430622E-2</v>
      </c>
      <c r="C278">
        <f t="shared" si="20"/>
        <v>4.784688995215311E-2</v>
      </c>
      <c r="D278">
        <v>1.4</v>
      </c>
      <c r="E278" t="s">
        <v>50</v>
      </c>
      <c r="F278" t="s">
        <v>24</v>
      </c>
      <c r="G278" t="s">
        <v>23</v>
      </c>
      <c r="H278" t="s">
        <v>22</v>
      </c>
      <c r="I278" t="s">
        <v>19</v>
      </c>
      <c r="J278" t="s">
        <v>18</v>
      </c>
      <c r="K278" t="s">
        <v>24</v>
      </c>
      <c r="L278" t="s">
        <v>23</v>
      </c>
      <c r="M278" t="s">
        <v>22</v>
      </c>
      <c r="N278" t="s">
        <v>19</v>
      </c>
      <c r="O278" t="s">
        <v>18</v>
      </c>
    </row>
    <row r="279" spans="1:15">
      <c r="A279" t="s">
        <v>39</v>
      </c>
      <c r="B279">
        <f t="shared" si="19"/>
        <v>9.569377990430622E-2</v>
      </c>
      <c r="C279">
        <f t="shared" si="20"/>
        <v>4.784688995215311E-2</v>
      </c>
      <c r="D279">
        <v>1.3</v>
      </c>
      <c r="E279" t="s">
        <v>50</v>
      </c>
      <c r="F279" t="s">
        <v>26</v>
      </c>
      <c r="G279" t="s">
        <v>25</v>
      </c>
      <c r="H279" t="s">
        <v>24</v>
      </c>
      <c r="I279" t="s">
        <v>20</v>
      </c>
      <c r="J279" t="s">
        <v>22</v>
      </c>
      <c r="K279" t="s">
        <v>26</v>
      </c>
      <c r="L279" t="s">
        <v>25</v>
      </c>
      <c r="M279" t="s">
        <v>24</v>
      </c>
      <c r="N279" t="s">
        <v>20</v>
      </c>
      <c r="O279" t="s">
        <v>22</v>
      </c>
    </row>
    <row r="280" spans="1:15">
      <c r="A280" t="s">
        <v>39</v>
      </c>
      <c r="B280">
        <f t="shared" si="19"/>
        <v>9.569377990430622E-2</v>
      </c>
      <c r="C280">
        <f t="shared" si="20"/>
        <v>4.784688995215311E-2</v>
      </c>
      <c r="D280">
        <v>1.2</v>
      </c>
      <c r="E280" t="s">
        <v>50</v>
      </c>
      <c r="F280" t="s">
        <v>20</v>
      </c>
      <c r="G280" t="s">
        <v>25</v>
      </c>
      <c r="H280" t="s">
        <v>19</v>
      </c>
      <c r="I280" t="s">
        <v>17</v>
      </c>
      <c r="J280" t="s">
        <v>26</v>
      </c>
      <c r="K280" t="s">
        <v>20</v>
      </c>
      <c r="L280" t="s">
        <v>25</v>
      </c>
      <c r="M280" t="s">
        <v>19</v>
      </c>
      <c r="N280" t="s">
        <v>17</v>
      </c>
      <c r="O280" t="s">
        <v>26</v>
      </c>
    </row>
    <row r="281" spans="1:15">
      <c r="A281" t="s">
        <v>39</v>
      </c>
      <c r="B281">
        <f t="shared" si="19"/>
        <v>9.569377990430622E-2</v>
      </c>
      <c r="C281">
        <f t="shared" si="20"/>
        <v>4.784688995215311E-2</v>
      </c>
      <c r="D281">
        <v>1.1000000000000001</v>
      </c>
      <c r="E281" t="s">
        <v>50</v>
      </c>
      <c r="F281" t="s">
        <v>20</v>
      </c>
      <c r="G281" t="s">
        <v>17</v>
      </c>
      <c r="H281" t="s">
        <v>25</v>
      </c>
      <c r="I281" t="s">
        <v>26</v>
      </c>
      <c r="J281" t="s">
        <v>22</v>
      </c>
      <c r="K281" t="s">
        <v>20</v>
      </c>
      <c r="L281" t="s">
        <v>17</v>
      </c>
      <c r="M281" t="s">
        <v>25</v>
      </c>
      <c r="N281" t="s">
        <v>26</v>
      </c>
      <c r="O281" t="s">
        <v>22</v>
      </c>
    </row>
    <row r="282" spans="1:15">
      <c r="A282" t="s">
        <v>39</v>
      </c>
      <c r="B282">
        <f t="shared" si="19"/>
        <v>9.569377990430622E-2</v>
      </c>
      <c r="C282">
        <f t="shared" si="20"/>
        <v>4.784688995215311E-2</v>
      </c>
      <c r="D282">
        <v>1</v>
      </c>
      <c r="E282" t="s">
        <v>50</v>
      </c>
      <c r="F282" t="s">
        <v>24</v>
      </c>
      <c r="G282" t="s">
        <v>21</v>
      </c>
      <c r="H282" t="s">
        <v>18</v>
      </c>
      <c r="I282" t="s">
        <v>25</v>
      </c>
      <c r="J282" t="s">
        <v>19</v>
      </c>
      <c r="K282" t="s">
        <v>24</v>
      </c>
      <c r="L282" t="s">
        <v>21</v>
      </c>
      <c r="M282" t="s">
        <v>18</v>
      </c>
      <c r="N282" t="s">
        <v>25</v>
      </c>
      <c r="O282" t="s">
        <v>19</v>
      </c>
    </row>
    <row r="283" spans="1:15">
      <c r="A283" t="s">
        <v>39</v>
      </c>
      <c r="B283">
        <f t="shared" si="19"/>
        <v>9.569377990430622E-2</v>
      </c>
      <c r="C283">
        <f t="shared" si="20"/>
        <v>4.784688995215311E-2</v>
      </c>
      <c r="D283">
        <v>0.90000000000000102</v>
      </c>
      <c r="E283" t="s">
        <v>50</v>
      </c>
      <c r="F283" t="s">
        <v>24</v>
      </c>
      <c r="G283" t="s">
        <v>25</v>
      </c>
      <c r="H283" t="s">
        <v>21</v>
      </c>
      <c r="I283" t="s">
        <v>20</v>
      </c>
      <c r="J283" t="s">
        <v>23</v>
      </c>
      <c r="K283" t="s">
        <v>24</v>
      </c>
      <c r="L283" t="s">
        <v>25</v>
      </c>
      <c r="M283" t="s">
        <v>21</v>
      </c>
      <c r="N283" t="s">
        <v>20</v>
      </c>
      <c r="O283" t="s">
        <v>23</v>
      </c>
    </row>
    <row r="284" spans="1:15">
      <c r="A284" t="s">
        <v>39</v>
      </c>
      <c r="B284">
        <f t="shared" si="19"/>
        <v>9.569377990430622E-2</v>
      </c>
      <c r="C284">
        <f t="shared" si="20"/>
        <v>4.784688995215311E-2</v>
      </c>
      <c r="D284">
        <v>0.80000000000000104</v>
      </c>
      <c r="E284" t="s">
        <v>50</v>
      </c>
      <c r="F284" t="s">
        <v>19</v>
      </c>
      <c r="G284" t="s">
        <v>26</v>
      </c>
      <c r="H284" t="s">
        <v>25</v>
      </c>
      <c r="I284" t="s">
        <v>17</v>
      </c>
      <c r="J284" t="s">
        <v>22</v>
      </c>
    </row>
    <row r="285" spans="1:15">
      <c r="A285" t="s">
        <v>39</v>
      </c>
      <c r="B285">
        <f t="shared" si="19"/>
        <v>9.569377990430622E-2</v>
      </c>
      <c r="C285">
        <f t="shared" si="20"/>
        <v>4.784688995215311E-2</v>
      </c>
      <c r="D285">
        <v>0.70000000000000095</v>
      </c>
      <c r="E285" t="s">
        <v>50</v>
      </c>
      <c r="F285" t="s">
        <v>23</v>
      </c>
      <c r="G285" t="s">
        <v>24</v>
      </c>
      <c r="H285" t="s">
        <v>19</v>
      </c>
      <c r="I285" t="s">
        <v>22</v>
      </c>
      <c r="J285" t="s">
        <v>25</v>
      </c>
    </row>
    <row r="286" spans="1:15">
      <c r="A286" t="s">
        <v>39</v>
      </c>
      <c r="B286">
        <f t="shared" si="19"/>
        <v>9.569377990430622E-2</v>
      </c>
      <c r="C286">
        <f t="shared" si="20"/>
        <v>4.784688995215311E-2</v>
      </c>
      <c r="D286">
        <v>0.6</v>
      </c>
      <c r="E286" t="s">
        <v>50</v>
      </c>
      <c r="F286" t="s">
        <v>24</v>
      </c>
      <c r="G286" t="s">
        <v>26</v>
      </c>
      <c r="H286" t="s">
        <v>25</v>
      </c>
      <c r="I286" t="s">
        <v>20</v>
      </c>
      <c r="J286" t="s">
        <v>23</v>
      </c>
    </row>
    <row r="287" spans="1:15">
      <c r="A287" t="s">
        <v>39</v>
      </c>
      <c r="B287">
        <f t="shared" si="19"/>
        <v>9.569377990430622E-2</v>
      </c>
      <c r="C287">
        <f t="shared" si="20"/>
        <v>4.784688995215311E-2</v>
      </c>
      <c r="D287">
        <v>0.5</v>
      </c>
      <c r="E287" t="s">
        <v>50</v>
      </c>
      <c r="F287" t="s">
        <v>24</v>
      </c>
      <c r="G287" t="s">
        <v>21</v>
      </c>
      <c r="H287" t="s">
        <v>26</v>
      </c>
      <c r="I287" t="s">
        <v>17</v>
      </c>
      <c r="J287" t="s">
        <v>22</v>
      </c>
    </row>
    <row r="288" spans="1:15">
      <c r="A288" t="s">
        <v>39</v>
      </c>
      <c r="B288">
        <f t="shared" si="19"/>
        <v>9.569377990430622E-2</v>
      </c>
      <c r="C288">
        <f t="shared" si="20"/>
        <v>4.784688995215311E-2</v>
      </c>
      <c r="D288">
        <v>0.4</v>
      </c>
      <c r="E288" t="s">
        <v>50</v>
      </c>
      <c r="F288" t="s">
        <v>18</v>
      </c>
      <c r="G288" t="s">
        <v>20</v>
      </c>
      <c r="H288" t="s">
        <v>17</v>
      </c>
      <c r="I288" t="s">
        <v>21</v>
      </c>
      <c r="J288" t="s">
        <v>25</v>
      </c>
    </row>
    <row r="289" spans="1:15">
      <c r="A289" t="s">
        <v>39</v>
      </c>
      <c r="B289">
        <f t="shared" si="19"/>
        <v>9.569377990430622E-2</v>
      </c>
      <c r="C289">
        <f t="shared" si="20"/>
        <v>4.784688995215311E-2</v>
      </c>
      <c r="D289">
        <v>0.3</v>
      </c>
      <c r="E289" t="s">
        <v>50</v>
      </c>
      <c r="F289" t="s">
        <v>22</v>
      </c>
      <c r="G289" t="s">
        <v>17</v>
      </c>
      <c r="H289" t="s">
        <v>25</v>
      </c>
      <c r="I289" t="s">
        <v>19</v>
      </c>
      <c r="J289" t="s">
        <v>21</v>
      </c>
    </row>
    <row r="290" spans="1:15">
      <c r="A290" t="s">
        <v>39</v>
      </c>
      <c r="B290">
        <f t="shared" si="19"/>
        <v>9.569377990430622E-2</v>
      </c>
      <c r="C290">
        <f t="shared" si="20"/>
        <v>4.784688995215311E-2</v>
      </c>
      <c r="D290">
        <v>0.2</v>
      </c>
      <c r="E290" t="s">
        <v>50</v>
      </c>
      <c r="F290" t="s">
        <v>22</v>
      </c>
      <c r="G290" t="s">
        <v>26</v>
      </c>
      <c r="H290" t="s">
        <v>17</v>
      </c>
      <c r="I290" t="s">
        <v>25</v>
      </c>
      <c r="J290" t="s">
        <v>23</v>
      </c>
    </row>
    <row r="291" spans="1:15">
      <c r="A291" t="s">
        <v>39</v>
      </c>
      <c r="B291">
        <f t="shared" si="19"/>
        <v>9.569377990430622E-2</v>
      </c>
      <c r="C291">
        <f t="shared" si="20"/>
        <v>4.784688995215311E-2</v>
      </c>
      <c r="D291">
        <v>9.9999999999999895E-2</v>
      </c>
      <c r="E291" t="s">
        <v>50</v>
      </c>
      <c r="F291" t="s">
        <v>22</v>
      </c>
      <c r="G291" t="s">
        <v>25</v>
      </c>
      <c r="H291" t="s">
        <v>23</v>
      </c>
      <c r="I291" t="s">
        <v>21</v>
      </c>
      <c r="J291" t="s">
        <v>19</v>
      </c>
    </row>
    <row r="292" spans="1:15">
      <c r="A292" t="s">
        <v>39</v>
      </c>
      <c r="B292">
        <f t="shared" si="19"/>
        <v>9.569377990430622E-2</v>
      </c>
      <c r="C292">
        <f t="shared" si="20"/>
        <v>4.784688995215311E-2</v>
      </c>
      <c r="D292">
        <v>0</v>
      </c>
      <c r="E292" t="s">
        <v>50</v>
      </c>
      <c r="F292" t="s">
        <v>18</v>
      </c>
      <c r="G292" t="s">
        <v>22</v>
      </c>
      <c r="H292" t="s">
        <v>25</v>
      </c>
      <c r="I292" t="s">
        <v>26</v>
      </c>
      <c r="J292" t="s">
        <v>17</v>
      </c>
    </row>
    <row r="293" spans="1:15">
      <c r="A293" t="s">
        <v>39</v>
      </c>
      <c r="B293">
        <f t="shared" si="19"/>
        <v>9.569377990430622E-2</v>
      </c>
      <c r="C293">
        <f t="shared" si="20"/>
        <v>4.784688995215311E-2</v>
      </c>
      <c r="D293">
        <v>-0.1</v>
      </c>
      <c r="E293" t="s">
        <v>50</v>
      </c>
      <c r="F293" t="s">
        <v>26</v>
      </c>
      <c r="G293" t="s">
        <v>18</v>
      </c>
      <c r="H293" t="s">
        <v>22</v>
      </c>
      <c r="I293" t="s">
        <v>25</v>
      </c>
      <c r="J293" t="s">
        <v>21</v>
      </c>
    </row>
    <row r="294" spans="1:15">
      <c r="A294" t="s">
        <v>39</v>
      </c>
      <c r="B294">
        <f t="shared" si="19"/>
        <v>9.569377990430622E-2</v>
      </c>
      <c r="C294">
        <f t="shared" si="20"/>
        <v>4.784688995215311E-2</v>
      </c>
      <c r="D294">
        <v>-0.2</v>
      </c>
      <c r="E294" t="s">
        <v>50</v>
      </c>
      <c r="F294" t="s">
        <v>24</v>
      </c>
      <c r="G294" t="s">
        <v>18</v>
      </c>
      <c r="H294" t="s">
        <v>17</v>
      </c>
      <c r="I294" t="s">
        <v>19</v>
      </c>
      <c r="J294" t="s">
        <v>22</v>
      </c>
    </row>
    <row r="295" spans="1:15">
      <c r="A295" t="s">
        <v>39</v>
      </c>
      <c r="B295">
        <f t="shared" si="19"/>
        <v>9.569377990430622E-2</v>
      </c>
      <c r="C295">
        <f t="shared" si="20"/>
        <v>4.784688995215311E-2</v>
      </c>
      <c r="D295">
        <v>-0.3</v>
      </c>
      <c r="E295" t="s">
        <v>50</v>
      </c>
      <c r="F295" t="s">
        <v>25</v>
      </c>
      <c r="G295" t="s">
        <v>21</v>
      </c>
      <c r="H295" t="s">
        <v>26</v>
      </c>
      <c r="I295" t="s">
        <v>23</v>
      </c>
      <c r="J295" t="s">
        <v>18</v>
      </c>
    </row>
    <row r="296" spans="1:15">
      <c r="A296" t="s">
        <v>40</v>
      </c>
      <c r="B296">
        <f>1/18.39</f>
        <v>5.4377379010331697E-2</v>
      </c>
      <c r="C296">
        <f>0.5/10.45</f>
        <v>4.784688995215311E-2</v>
      </c>
      <c r="D296">
        <v>1.7</v>
      </c>
      <c r="E296" t="s">
        <v>50</v>
      </c>
      <c r="F296" t="s">
        <v>17</v>
      </c>
      <c r="G296" t="s">
        <v>24</v>
      </c>
      <c r="H296" t="s">
        <v>18</v>
      </c>
      <c r="I296" t="s">
        <v>22</v>
      </c>
      <c r="J296" t="s">
        <v>26</v>
      </c>
      <c r="K296" t="s">
        <v>17</v>
      </c>
      <c r="L296" t="s">
        <v>24</v>
      </c>
      <c r="M296" t="s">
        <v>18</v>
      </c>
      <c r="N296" t="s">
        <v>22</v>
      </c>
      <c r="O296" t="s">
        <v>26</v>
      </c>
    </row>
    <row r="297" spans="1:15">
      <c r="A297" t="s">
        <v>40</v>
      </c>
      <c r="B297">
        <f t="shared" ref="B297:B315" si="21">1/18.39</f>
        <v>5.4377379010331697E-2</v>
      </c>
      <c r="C297">
        <f t="shared" ref="C297:C315" si="22">0.5/10.45</f>
        <v>4.784688995215311E-2</v>
      </c>
      <c r="D297">
        <v>1.6</v>
      </c>
      <c r="E297" t="s">
        <v>50</v>
      </c>
      <c r="F297" t="s">
        <v>25</v>
      </c>
      <c r="G297" t="s">
        <v>18</v>
      </c>
      <c r="H297" t="s">
        <v>23</v>
      </c>
      <c r="I297" t="s">
        <v>26</v>
      </c>
      <c r="J297" t="s">
        <v>19</v>
      </c>
      <c r="K297" t="s">
        <v>25</v>
      </c>
      <c r="L297" t="s">
        <v>18</v>
      </c>
      <c r="M297" t="s">
        <v>23</v>
      </c>
      <c r="N297" t="s">
        <v>26</v>
      </c>
      <c r="O297" t="s">
        <v>19</v>
      </c>
    </row>
    <row r="298" spans="1:15">
      <c r="A298" t="s">
        <v>40</v>
      </c>
      <c r="B298">
        <f t="shared" si="21"/>
        <v>5.4377379010331697E-2</v>
      </c>
      <c r="C298">
        <f t="shared" si="22"/>
        <v>4.784688995215311E-2</v>
      </c>
      <c r="D298">
        <v>1.5</v>
      </c>
      <c r="E298" t="s">
        <v>50</v>
      </c>
      <c r="F298" t="s">
        <v>22</v>
      </c>
      <c r="G298" t="s">
        <v>25</v>
      </c>
      <c r="H298" t="s">
        <v>20</v>
      </c>
      <c r="I298" t="s">
        <v>23</v>
      </c>
      <c r="J298" t="s">
        <v>18</v>
      </c>
      <c r="K298" t="s">
        <v>22</v>
      </c>
      <c r="L298" t="s">
        <v>25</v>
      </c>
      <c r="M298" t="s">
        <v>20</v>
      </c>
      <c r="N298" t="s">
        <v>23</v>
      </c>
      <c r="O298" t="s">
        <v>18</v>
      </c>
    </row>
    <row r="299" spans="1:15">
      <c r="A299" t="s">
        <v>40</v>
      </c>
      <c r="B299">
        <f t="shared" si="21"/>
        <v>5.4377379010331697E-2</v>
      </c>
      <c r="C299">
        <f t="shared" si="22"/>
        <v>4.784688995215311E-2</v>
      </c>
      <c r="D299">
        <v>1.4</v>
      </c>
      <c r="E299" t="s">
        <v>50</v>
      </c>
      <c r="F299" t="s">
        <v>24</v>
      </c>
      <c r="G299" t="s">
        <v>23</v>
      </c>
      <c r="H299" t="s">
        <v>18</v>
      </c>
      <c r="I299" t="s">
        <v>20</v>
      </c>
      <c r="J299" t="s">
        <v>26</v>
      </c>
      <c r="K299" t="s">
        <v>24</v>
      </c>
      <c r="L299" t="s">
        <v>23</v>
      </c>
      <c r="M299" t="s">
        <v>18</v>
      </c>
      <c r="N299" t="s">
        <v>20</v>
      </c>
      <c r="O299" t="s">
        <v>26</v>
      </c>
    </row>
    <row r="300" spans="1:15">
      <c r="A300" t="s">
        <v>40</v>
      </c>
      <c r="B300">
        <f t="shared" si="21"/>
        <v>5.4377379010331697E-2</v>
      </c>
      <c r="C300">
        <f t="shared" si="22"/>
        <v>4.784688995215311E-2</v>
      </c>
      <c r="D300">
        <v>1.3</v>
      </c>
      <c r="E300" t="s">
        <v>50</v>
      </c>
      <c r="F300" t="s">
        <v>23</v>
      </c>
      <c r="G300" t="s">
        <v>26</v>
      </c>
      <c r="H300" t="s">
        <v>19</v>
      </c>
      <c r="I300" t="s">
        <v>22</v>
      </c>
      <c r="J300" t="s">
        <v>24</v>
      </c>
      <c r="N300" t="s">
        <v>22</v>
      </c>
      <c r="O300" t="s">
        <v>24</v>
      </c>
    </row>
    <row r="301" spans="1:15">
      <c r="A301" t="s">
        <v>40</v>
      </c>
      <c r="B301">
        <f t="shared" si="21"/>
        <v>5.4377379010331697E-2</v>
      </c>
      <c r="C301">
        <f t="shared" si="22"/>
        <v>4.784688995215311E-2</v>
      </c>
      <c r="D301">
        <v>1.2</v>
      </c>
      <c r="E301" t="s">
        <v>50</v>
      </c>
      <c r="F301" t="s">
        <v>18</v>
      </c>
      <c r="G301" t="s">
        <v>25</v>
      </c>
      <c r="H301" t="s">
        <v>23</v>
      </c>
      <c r="I301" t="s">
        <v>21</v>
      </c>
      <c r="J301" t="s">
        <v>22</v>
      </c>
      <c r="O301" t="s">
        <v>22</v>
      </c>
    </row>
    <row r="302" spans="1:15">
      <c r="A302" t="s">
        <v>40</v>
      </c>
      <c r="B302">
        <f t="shared" si="21"/>
        <v>5.4377379010331697E-2</v>
      </c>
      <c r="C302">
        <f t="shared" si="22"/>
        <v>4.784688995215311E-2</v>
      </c>
      <c r="D302">
        <v>1.1000000000000001</v>
      </c>
      <c r="E302" t="s">
        <v>50</v>
      </c>
      <c r="F302" t="s">
        <v>20</v>
      </c>
      <c r="G302" t="s">
        <v>22</v>
      </c>
      <c r="H302" t="s">
        <v>25</v>
      </c>
      <c r="I302" t="s">
        <v>26</v>
      </c>
      <c r="J302" t="s">
        <v>21</v>
      </c>
    </row>
    <row r="303" spans="1:15">
      <c r="A303" t="s">
        <v>40</v>
      </c>
      <c r="B303">
        <f t="shared" si="21"/>
        <v>5.4377379010331697E-2</v>
      </c>
      <c r="C303">
        <f t="shared" si="22"/>
        <v>4.784688995215311E-2</v>
      </c>
      <c r="D303">
        <v>1</v>
      </c>
      <c r="E303" t="s">
        <v>50</v>
      </c>
      <c r="F303" t="s">
        <v>21</v>
      </c>
      <c r="G303" t="s">
        <v>19</v>
      </c>
      <c r="H303" t="s">
        <v>25</v>
      </c>
      <c r="I303" t="s">
        <v>24</v>
      </c>
      <c r="J303" t="s">
        <v>18</v>
      </c>
    </row>
    <row r="304" spans="1:15">
      <c r="A304" t="s">
        <v>40</v>
      </c>
      <c r="B304">
        <f t="shared" si="21"/>
        <v>5.4377379010331697E-2</v>
      </c>
      <c r="C304">
        <f t="shared" si="22"/>
        <v>4.784688995215311E-2</v>
      </c>
      <c r="D304">
        <v>0.90000000000000102</v>
      </c>
      <c r="E304" t="s">
        <v>50</v>
      </c>
      <c r="F304" t="s">
        <v>26</v>
      </c>
      <c r="G304" t="s">
        <v>24</v>
      </c>
      <c r="H304" t="s">
        <v>18</v>
      </c>
      <c r="I304" t="s">
        <v>22</v>
      </c>
      <c r="J304" t="s">
        <v>20</v>
      </c>
    </row>
    <row r="305" spans="1:10">
      <c r="A305" t="s">
        <v>40</v>
      </c>
      <c r="B305">
        <f t="shared" si="21"/>
        <v>5.4377379010331697E-2</v>
      </c>
      <c r="C305">
        <f t="shared" si="22"/>
        <v>4.784688995215311E-2</v>
      </c>
      <c r="D305">
        <v>0.80000000000000104</v>
      </c>
      <c r="E305" t="s">
        <v>50</v>
      </c>
      <c r="F305" t="s">
        <v>24</v>
      </c>
      <c r="G305" t="s">
        <v>22</v>
      </c>
      <c r="H305" t="s">
        <v>18</v>
      </c>
      <c r="I305" t="s">
        <v>17</v>
      </c>
      <c r="J305" t="s">
        <v>26</v>
      </c>
    </row>
    <row r="306" spans="1:10">
      <c r="A306" t="s">
        <v>40</v>
      </c>
      <c r="B306">
        <f t="shared" si="21"/>
        <v>5.4377379010331697E-2</v>
      </c>
      <c r="C306">
        <f t="shared" si="22"/>
        <v>4.784688995215311E-2</v>
      </c>
      <c r="D306">
        <v>0.70000000000000095</v>
      </c>
      <c r="E306" t="s">
        <v>50</v>
      </c>
      <c r="F306" t="s">
        <v>26</v>
      </c>
      <c r="G306" t="s">
        <v>18</v>
      </c>
      <c r="H306" t="s">
        <v>22</v>
      </c>
      <c r="I306" t="s">
        <v>23</v>
      </c>
      <c r="J306" t="s">
        <v>20</v>
      </c>
    </row>
    <row r="307" spans="1:10">
      <c r="A307" t="s">
        <v>40</v>
      </c>
      <c r="B307">
        <f t="shared" si="21"/>
        <v>5.4377379010331697E-2</v>
      </c>
      <c r="C307">
        <f t="shared" si="22"/>
        <v>4.784688995215311E-2</v>
      </c>
      <c r="D307">
        <v>0.6</v>
      </c>
      <c r="E307" t="s">
        <v>50</v>
      </c>
      <c r="F307" t="s">
        <v>24</v>
      </c>
      <c r="G307" t="s">
        <v>19</v>
      </c>
      <c r="H307" t="s">
        <v>22</v>
      </c>
      <c r="I307" t="s">
        <v>26</v>
      </c>
      <c r="J307" t="s">
        <v>25</v>
      </c>
    </row>
    <row r="308" spans="1:10">
      <c r="A308" t="s">
        <v>40</v>
      </c>
      <c r="B308">
        <f t="shared" si="21"/>
        <v>5.4377379010331697E-2</v>
      </c>
      <c r="C308">
        <f t="shared" si="22"/>
        <v>4.784688995215311E-2</v>
      </c>
      <c r="D308">
        <v>0.5</v>
      </c>
      <c r="E308" t="s">
        <v>50</v>
      </c>
      <c r="F308" t="s">
        <v>17</v>
      </c>
      <c r="G308" t="s">
        <v>20</v>
      </c>
      <c r="H308" t="s">
        <v>22</v>
      </c>
      <c r="I308" t="s">
        <v>26</v>
      </c>
      <c r="J308" t="s">
        <v>23</v>
      </c>
    </row>
    <row r="309" spans="1:10">
      <c r="A309" t="s">
        <v>40</v>
      </c>
      <c r="B309">
        <f t="shared" si="21"/>
        <v>5.4377379010331697E-2</v>
      </c>
      <c r="C309">
        <f t="shared" si="22"/>
        <v>4.784688995215311E-2</v>
      </c>
      <c r="D309">
        <v>0.4</v>
      </c>
      <c r="E309" t="s">
        <v>50</v>
      </c>
      <c r="F309" t="s">
        <v>19</v>
      </c>
      <c r="G309" t="s">
        <v>18</v>
      </c>
      <c r="H309" t="s">
        <v>17</v>
      </c>
      <c r="I309" t="s">
        <v>23</v>
      </c>
      <c r="J309" t="s">
        <v>24</v>
      </c>
    </row>
    <row r="310" spans="1:10">
      <c r="A310" t="s">
        <v>40</v>
      </c>
      <c r="B310">
        <f t="shared" si="21"/>
        <v>5.4377379010331697E-2</v>
      </c>
      <c r="C310">
        <f t="shared" si="22"/>
        <v>4.784688995215311E-2</v>
      </c>
      <c r="D310">
        <v>0.3</v>
      </c>
      <c r="E310" t="s">
        <v>50</v>
      </c>
      <c r="F310" t="s">
        <v>23</v>
      </c>
      <c r="G310" t="s">
        <v>19</v>
      </c>
      <c r="H310" t="s">
        <v>20</v>
      </c>
      <c r="I310" t="s">
        <v>17</v>
      </c>
      <c r="J310" t="s">
        <v>22</v>
      </c>
    </row>
    <row r="311" spans="1:10">
      <c r="A311" t="s">
        <v>40</v>
      </c>
      <c r="B311">
        <f t="shared" si="21"/>
        <v>5.4377379010331697E-2</v>
      </c>
      <c r="C311">
        <f t="shared" si="22"/>
        <v>4.784688995215311E-2</v>
      </c>
      <c r="D311">
        <v>0.2</v>
      </c>
      <c r="E311" t="s">
        <v>50</v>
      </c>
      <c r="F311" t="s">
        <v>26</v>
      </c>
      <c r="G311" t="s">
        <v>24</v>
      </c>
      <c r="H311" t="s">
        <v>17</v>
      </c>
      <c r="I311" t="s">
        <v>23</v>
      </c>
      <c r="J311" t="s">
        <v>20</v>
      </c>
    </row>
    <row r="312" spans="1:10">
      <c r="A312" t="s">
        <v>40</v>
      </c>
      <c r="B312">
        <f t="shared" si="21"/>
        <v>5.4377379010331697E-2</v>
      </c>
      <c r="C312">
        <f t="shared" si="22"/>
        <v>4.784688995215311E-2</v>
      </c>
      <c r="D312">
        <v>9.9999999999999895E-2</v>
      </c>
      <c r="E312" t="s">
        <v>50</v>
      </c>
      <c r="F312" t="s">
        <v>20</v>
      </c>
      <c r="G312" t="s">
        <v>21</v>
      </c>
      <c r="H312" t="s">
        <v>17</v>
      </c>
      <c r="I312" t="s">
        <v>22</v>
      </c>
      <c r="J312" t="s">
        <v>19</v>
      </c>
    </row>
    <row r="313" spans="1:10">
      <c r="A313" t="s">
        <v>40</v>
      </c>
      <c r="B313">
        <f t="shared" si="21"/>
        <v>5.4377379010331697E-2</v>
      </c>
      <c r="C313">
        <f t="shared" si="22"/>
        <v>4.784688995215311E-2</v>
      </c>
      <c r="D313">
        <v>0</v>
      </c>
      <c r="E313" t="s">
        <v>50</v>
      </c>
      <c r="F313" t="s">
        <v>22</v>
      </c>
      <c r="G313" t="s">
        <v>18</v>
      </c>
      <c r="H313" t="s">
        <v>21</v>
      </c>
      <c r="I313" t="s">
        <v>20</v>
      </c>
      <c r="J313" t="s">
        <v>26</v>
      </c>
    </row>
    <row r="314" spans="1:10">
      <c r="A314" t="s">
        <v>40</v>
      </c>
      <c r="B314">
        <f t="shared" si="21"/>
        <v>5.4377379010331697E-2</v>
      </c>
      <c r="C314">
        <f t="shared" si="22"/>
        <v>4.784688995215311E-2</v>
      </c>
      <c r="D314">
        <v>-0.1</v>
      </c>
      <c r="E314" t="s">
        <v>50</v>
      </c>
      <c r="F314" t="s">
        <v>26</v>
      </c>
      <c r="G314" t="s">
        <v>17</v>
      </c>
      <c r="H314" t="s">
        <v>22</v>
      </c>
      <c r="I314" t="s">
        <v>19</v>
      </c>
      <c r="J314" t="s">
        <v>18</v>
      </c>
    </row>
    <row r="315" spans="1:10">
      <c r="A315" t="s">
        <v>40</v>
      </c>
      <c r="B315">
        <f t="shared" si="21"/>
        <v>5.4377379010331697E-2</v>
      </c>
      <c r="C315">
        <f t="shared" si="22"/>
        <v>4.784688995215311E-2</v>
      </c>
      <c r="D315">
        <v>-0.2</v>
      </c>
      <c r="E315" t="s">
        <v>50</v>
      </c>
      <c r="F315" t="s">
        <v>17</v>
      </c>
      <c r="G315" t="s">
        <v>26</v>
      </c>
      <c r="H315" t="s">
        <v>21</v>
      </c>
      <c r="I315" t="s">
        <v>25</v>
      </c>
      <c r="J315" t="s">
        <v>19</v>
      </c>
    </row>
    <row r="316" spans="1:10">
      <c r="A316" t="s">
        <v>40</v>
      </c>
      <c r="B316">
        <f>1/18.39</f>
        <v>5.4377379010331697E-2</v>
      </c>
      <c r="C316">
        <f>0.5/10.45</f>
        <v>4.784688995215311E-2</v>
      </c>
      <c r="D316">
        <v>-0.3</v>
      </c>
      <c r="E316" t="s">
        <v>50</v>
      </c>
      <c r="F316" t="s">
        <v>18</v>
      </c>
      <c r="G316" t="s">
        <v>23</v>
      </c>
      <c r="H316" t="s">
        <v>22</v>
      </c>
      <c r="I316" t="s">
        <v>26</v>
      </c>
      <c r="J316" t="s">
        <v>21</v>
      </c>
    </row>
    <row r="317" spans="1:10">
      <c r="A317" t="s">
        <v>41</v>
      </c>
      <c r="B317">
        <f>1/31.63</f>
        <v>3.1615554852987671E-2</v>
      </c>
      <c r="C317">
        <f>0.5/31.63</f>
        <v>1.5807777426493835E-2</v>
      </c>
      <c r="D317">
        <v>1.7</v>
      </c>
      <c r="E317" t="s">
        <v>50</v>
      </c>
      <c r="F317" t="s">
        <v>18</v>
      </c>
      <c r="G317" t="s">
        <v>17</v>
      </c>
      <c r="H317" t="s">
        <v>24</v>
      </c>
      <c r="I317" t="s">
        <v>21</v>
      </c>
      <c r="J317" t="s">
        <v>23</v>
      </c>
    </row>
    <row r="318" spans="1:10">
      <c r="A318" t="s">
        <v>41</v>
      </c>
      <c r="B318">
        <f t="shared" ref="B318:B337" si="23">1/31.63</f>
        <v>3.1615554852987671E-2</v>
      </c>
      <c r="C318">
        <f t="shared" ref="C318:C337" si="24">0.5/31.63</f>
        <v>1.5807777426493835E-2</v>
      </c>
      <c r="D318">
        <v>1.6</v>
      </c>
      <c r="E318" t="s">
        <v>50</v>
      </c>
      <c r="F318" t="s">
        <v>18</v>
      </c>
      <c r="G318" t="s">
        <v>21</v>
      </c>
      <c r="H318" t="s">
        <v>24</v>
      </c>
      <c r="I318" t="s">
        <v>19</v>
      </c>
      <c r="J318" t="s">
        <v>25</v>
      </c>
    </row>
    <row r="319" spans="1:10">
      <c r="A319" t="s">
        <v>41</v>
      </c>
      <c r="B319">
        <f t="shared" si="23"/>
        <v>3.1615554852987671E-2</v>
      </c>
      <c r="C319">
        <f t="shared" si="24"/>
        <v>1.5807777426493835E-2</v>
      </c>
      <c r="D319">
        <v>1.5</v>
      </c>
      <c r="E319" t="s">
        <v>50</v>
      </c>
      <c r="F319" t="s">
        <v>26</v>
      </c>
      <c r="G319" t="s">
        <v>19</v>
      </c>
      <c r="H319" t="s">
        <v>20</v>
      </c>
      <c r="I319" t="s">
        <v>17</v>
      </c>
      <c r="J319" t="s">
        <v>21</v>
      </c>
    </row>
    <row r="320" spans="1:10">
      <c r="A320" t="s">
        <v>41</v>
      </c>
      <c r="B320">
        <f t="shared" si="23"/>
        <v>3.1615554852987671E-2</v>
      </c>
      <c r="C320">
        <f t="shared" si="24"/>
        <v>1.5807777426493835E-2</v>
      </c>
      <c r="D320">
        <v>1.4</v>
      </c>
      <c r="E320" t="s">
        <v>50</v>
      </c>
      <c r="F320" t="s">
        <v>20</v>
      </c>
      <c r="G320" t="s">
        <v>23</v>
      </c>
      <c r="H320" t="s">
        <v>22</v>
      </c>
      <c r="I320" t="s">
        <v>24</v>
      </c>
      <c r="J320" t="s">
        <v>17</v>
      </c>
    </row>
    <row r="321" spans="1:10">
      <c r="A321" t="s">
        <v>41</v>
      </c>
      <c r="B321">
        <f t="shared" si="23"/>
        <v>3.1615554852987671E-2</v>
      </c>
      <c r="C321">
        <f t="shared" si="24"/>
        <v>1.5807777426493835E-2</v>
      </c>
      <c r="D321">
        <v>1.3</v>
      </c>
      <c r="E321" t="s">
        <v>50</v>
      </c>
      <c r="F321" t="s">
        <v>22</v>
      </c>
      <c r="G321" t="s">
        <v>21</v>
      </c>
      <c r="H321" t="s">
        <v>23</v>
      </c>
      <c r="I321" t="s">
        <v>20</v>
      </c>
      <c r="J321" t="s">
        <v>17</v>
      </c>
    </row>
    <row r="322" spans="1:10">
      <c r="A322" t="s">
        <v>41</v>
      </c>
      <c r="B322">
        <f t="shared" si="23"/>
        <v>3.1615554852987671E-2</v>
      </c>
      <c r="C322">
        <f t="shared" si="24"/>
        <v>1.5807777426493835E-2</v>
      </c>
      <c r="D322">
        <v>1.2</v>
      </c>
      <c r="E322" t="s">
        <v>50</v>
      </c>
      <c r="F322" t="s">
        <v>21</v>
      </c>
      <c r="G322" t="s">
        <v>22</v>
      </c>
      <c r="H322" t="s">
        <v>17</v>
      </c>
      <c r="I322" t="s">
        <v>23</v>
      </c>
      <c r="J322" t="s">
        <v>25</v>
      </c>
    </row>
    <row r="323" spans="1:10">
      <c r="A323" t="s">
        <v>41</v>
      </c>
      <c r="B323">
        <f t="shared" si="23"/>
        <v>3.1615554852987671E-2</v>
      </c>
      <c r="C323">
        <f t="shared" si="24"/>
        <v>1.5807777426493835E-2</v>
      </c>
      <c r="D323">
        <v>1.1000000000000001</v>
      </c>
      <c r="E323" t="s">
        <v>50</v>
      </c>
      <c r="F323" t="s">
        <v>23</v>
      </c>
      <c r="G323" t="s">
        <v>19</v>
      </c>
      <c r="H323" t="s">
        <v>20</v>
      </c>
      <c r="I323" t="s">
        <v>26</v>
      </c>
      <c r="J323" t="s">
        <v>25</v>
      </c>
    </row>
    <row r="324" spans="1:10">
      <c r="A324" t="s">
        <v>41</v>
      </c>
      <c r="B324">
        <f t="shared" si="23"/>
        <v>3.1615554852987671E-2</v>
      </c>
      <c r="C324">
        <f t="shared" si="24"/>
        <v>1.5807777426493835E-2</v>
      </c>
      <c r="D324">
        <v>1</v>
      </c>
      <c r="E324" t="s">
        <v>50</v>
      </c>
      <c r="F324" t="s">
        <v>18</v>
      </c>
      <c r="G324" t="s">
        <v>20</v>
      </c>
      <c r="H324" t="s">
        <v>26</v>
      </c>
      <c r="I324" t="s">
        <v>19</v>
      </c>
      <c r="J324" t="s">
        <v>22</v>
      </c>
    </row>
    <row r="325" spans="1:10">
      <c r="A325" t="s">
        <v>41</v>
      </c>
      <c r="B325">
        <f t="shared" si="23"/>
        <v>3.1615554852987671E-2</v>
      </c>
      <c r="C325">
        <f t="shared" si="24"/>
        <v>1.5807777426493835E-2</v>
      </c>
      <c r="D325">
        <v>0.90000000000000102</v>
      </c>
      <c r="E325" t="s">
        <v>50</v>
      </c>
      <c r="F325" t="s">
        <v>18</v>
      </c>
      <c r="G325" t="s">
        <v>25</v>
      </c>
      <c r="H325" t="s">
        <v>23</v>
      </c>
      <c r="I325" t="s">
        <v>17</v>
      </c>
      <c r="J325" t="s">
        <v>19</v>
      </c>
    </row>
    <row r="326" spans="1:10">
      <c r="A326" t="s">
        <v>41</v>
      </c>
      <c r="B326">
        <f t="shared" si="23"/>
        <v>3.1615554852987671E-2</v>
      </c>
      <c r="C326">
        <f t="shared" si="24"/>
        <v>1.5807777426493835E-2</v>
      </c>
      <c r="D326">
        <v>0.80000000000000104</v>
      </c>
      <c r="E326" t="s">
        <v>50</v>
      </c>
      <c r="F326" t="s">
        <v>25</v>
      </c>
      <c r="G326" t="s">
        <v>22</v>
      </c>
      <c r="H326" t="s">
        <v>17</v>
      </c>
      <c r="I326" t="s">
        <v>20</v>
      </c>
      <c r="J326" t="s">
        <v>24</v>
      </c>
    </row>
    <row r="327" spans="1:10">
      <c r="A327" t="s">
        <v>41</v>
      </c>
      <c r="B327">
        <f t="shared" si="23"/>
        <v>3.1615554852987671E-2</v>
      </c>
      <c r="C327">
        <f t="shared" si="24"/>
        <v>1.5807777426493835E-2</v>
      </c>
      <c r="D327">
        <v>0.70000000000000095</v>
      </c>
      <c r="E327" t="s">
        <v>50</v>
      </c>
      <c r="F327" t="s">
        <v>19</v>
      </c>
      <c r="G327" t="s">
        <v>23</v>
      </c>
      <c r="H327" t="s">
        <v>18</v>
      </c>
      <c r="I327" t="s">
        <v>24</v>
      </c>
      <c r="J327" t="s">
        <v>25</v>
      </c>
    </row>
    <row r="328" spans="1:10">
      <c r="A328" t="s">
        <v>41</v>
      </c>
      <c r="B328">
        <f t="shared" si="23"/>
        <v>3.1615554852987671E-2</v>
      </c>
      <c r="C328">
        <f t="shared" si="24"/>
        <v>1.5807777426493835E-2</v>
      </c>
      <c r="D328">
        <v>0.6</v>
      </c>
      <c r="E328" t="s">
        <v>50</v>
      </c>
      <c r="F328" t="s">
        <v>24</v>
      </c>
      <c r="G328" t="s">
        <v>19</v>
      </c>
      <c r="H328" t="s">
        <v>21</v>
      </c>
      <c r="I328" t="s">
        <v>25</v>
      </c>
      <c r="J328" t="s">
        <v>18</v>
      </c>
    </row>
    <row r="329" spans="1:10">
      <c r="A329" t="s">
        <v>41</v>
      </c>
      <c r="B329">
        <f t="shared" si="23"/>
        <v>3.1615554852987671E-2</v>
      </c>
      <c r="C329">
        <f t="shared" si="24"/>
        <v>1.5807777426493835E-2</v>
      </c>
      <c r="D329">
        <v>0.5</v>
      </c>
      <c r="E329" t="s">
        <v>50</v>
      </c>
      <c r="F329" t="s">
        <v>25</v>
      </c>
      <c r="G329" t="s">
        <v>26</v>
      </c>
      <c r="H329" t="s">
        <v>20</v>
      </c>
      <c r="I329" t="s">
        <v>22</v>
      </c>
      <c r="J329" t="s">
        <v>23</v>
      </c>
    </row>
    <row r="330" spans="1:10">
      <c r="A330" t="s">
        <v>41</v>
      </c>
      <c r="B330">
        <f t="shared" si="23"/>
        <v>3.1615554852987671E-2</v>
      </c>
      <c r="C330">
        <f t="shared" si="24"/>
        <v>1.5807777426493835E-2</v>
      </c>
      <c r="D330">
        <v>0.4</v>
      </c>
      <c r="E330" t="s">
        <v>50</v>
      </c>
      <c r="F330" t="s">
        <v>24</v>
      </c>
      <c r="G330" t="s">
        <v>26</v>
      </c>
      <c r="H330" t="s">
        <v>19</v>
      </c>
      <c r="I330" t="s">
        <v>18</v>
      </c>
      <c r="J330" t="s">
        <v>21</v>
      </c>
    </row>
    <row r="331" spans="1:10">
      <c r="A331" t="s">
        <v>41</v>
      </c>
      <c r="B331">
        <f t="shared" si="23"/>
        <v>3.1615554852987671E-2</v>
      </c>
      <c r="C331">
        <f t="shared" si="24"/>
        <v>1.5807777426493835E-2</v>
      </c>
      <c r="D331">
        <v>0.3</v>
      </c>
      <c r="E331" t="s">
        <v>50</v>
      </c>
      <c r="F331" t="s">
        <v>20</v>
      </c>
      <c r="G331" t="s">
        <v>21</v>
      </c>
      <c r="H331" t="s">
        <v>17</v>
      </c>
      <c r="I331" t="s">
        <v>23</v>
      </c>
      <c r="J331" t="s">
        <v>18</v>
      </c>
    </row>
    <row r="332" spans="1:10">
      <c r="A332" t="s">
        <v>41</v>
      </c>
      <c r="B332">
        <f t="shared" si="23"/>
        <v>3.1615554852987671E-2</v>
      </c>
      <c r="C332">
        <f t="shared" si="24"/>
        <v>1.5807777426493835E-2</v>
      </c>
      <c r="D332">
        <v>0.2</v>
      </c>
      <c r="E332" t="s">
        <v>50</v>
      </c>
      <c r="F332" t="s">
        <v>24</v>
      </c>
      <c r="G332" t="s">
        <v>21</v>
      </c>
      <c r="H332" t="s">
        <v>22</v>
      </c>
      <c r="I332" t="s">
        <v>17</v>
      </c>
      <c r="J332" t="s">
        <v>19</v>
      </c>
    </row>
    <row r="333" spans="1:10">
      <c r="A333" t="s">
        <v>41</v>
      </c>
      <c r="B333">
        <f t="shared" si="23"/>
        <v>3.1615554852987671E-2</v>
      </c>
      <c r="C333">
        <f t="shared" si="24"/>
        <v>1.5807777426493835E-2</v>
      </c>
      <c r="D333">
        <v>9.9999999999999895E-2</v>
      </c>
      <c r="E333" t="s">
        <v>50</v>
      </c>
      <c r="F333" t="s">
        <v>25</v>
      </c>
      <c r="G333" t="s">
        <v>17</v>
      </c>
      <c r="H333" t="s">
        <v>21</v>
      </c>
      <c r="I333" t="s">
        <v>19</v>
      </c>
      <c r="J333" t="s">
        <v>22</v>
      </c>
    </row>
    <row r="334" spans="1:10">
      <c r="A334" t="s">
        <v>41</v>
      </c>
      <c r="B334">
        <f t="shared" si="23"/>
        <v>3.1615554852987671E-2</v>
      </c>
      <c r="C334">
        <f t="shared" si="24"/>
        <v>1.5807777426493835E-2</v>
      </c>
      <c r="D334">
        <v>0</v>
      </c>
      <c r="E334" t="s">
        <v>50</v>
      </c>
      <c r="F334" t="s">
        <v>23</v>
      </c>
      <c r="G334" t="s">
        <v>24</v>
      </c>
      <c r="H334" t="s">
        <v>25</v>
      </c>
      <c r="I334" t="s">
        <v>18</v>
      </c>
      <c r="J334" t="s">
        <v>21</v>
      </c>
    </row>
    <row r="335" spans="1:10">
      <c r="A335" t="s">
        <v>41</v>
      </c>
      <c r="B335">
        <f t="shared" si="23"/>
        <v>3.1615554852987671E-2</v>
      </c>
      <c r="C335">
        <f t="shared" si="24"/>
        <v>1.5807777426493835E-2</v>
      </c>
      <c r="D335">
        <v>-0.1</v>
      </c>
      <c r="E335" t="s">
        <v>50</v>
      </c>
      <c r="F335" t="s">
        <v>17</v>
      </c>
      <c r="G335" t="s">
        <v>18</v>
      </c>
      <c r="H335" t="s">
        <v>26</v>
      </c>
      <c r="I335" t="s">
        <v>22</v>
      </c>
      <c r="J335" t="s">
        <v>23</v>
      </c>
    </row>
    <row r="336" spans="1:10">
      <c r="A336" t="s">
        <v>41</v>
      </c>
      <c r="B336">
        <f t="shared" si="23"/>
        <v>3.1615554852987671E-2</v>
      </c>
      <c r="C336">
        <f t="shared" si="24"/>
        <v>1.5807777426493835E-2</v>
      </c>
      <c r="D336">
        <v>-0.2</v>
      </c>
      <c r="E336" t="s">
        <v>50</v>
      </c>
      <c r="F336" t="s">
        <v>26</v>
      </c>
      <c r="G336" t="s">
        <v>22</v>
      </c>
      <c r="H336" t="s">
        <v>18</v>
      </c>
      <c r="I336" t="s">
        <v>23</v>
      </c>
      <c r="J336" t="s">
        <v>17</v>
      </c>
    </row>
    <row r="337" spans="1:10">
      <c r="A337" t="s">
        <v>41</v>
      </c>
      <c r="B337">
        <f t="shared" si="23"/>
        <v>3.1615554852987671E-2</v>
      </c>
      <c r="C337">
        <f t="shared" si="24"/>
        <v>1.5807777426493835E-2</v>
      </c>
      <c r="D337">
        <v>-0.3</v>
      </c>
      <c r="E337" t="s">
        <v>50</v>
      </c>
      <c r="F337" t="s">
        <v>25</v>
      </c>
      <c r="G337" t="s">
        <v>26</v>
      </c>
      <c r="H337" t="s">
        <v>24</v>
      </c>
      <c r="I337" t="s">
        <v>19</v>
      </c>
      <c r="J337" t="s">
        <v>18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1611-3E46-704E-B5F2-558F52A3CF38}">
  <dimension ref="A1:O337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D2">
        <v>1.7</v>
      </c>
      <c r="E2" t="s">
        <v>51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D3">
        <v>1.6</v>
      </c>
      <c r="E3" t="s">
        <v>51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D4">
        <v>1.5</v>
      </c>
      <c r="E4" t="s">
        <v>51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D5">
        <v>1.4</v>
      </c>
      <c r="E5" t="s">
        <v>51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D6">
        <v>1.3</v>
      </c>
      <c r="E6" t="s">
        <v>51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D7">
        <v>1.2</v>
      </c>
      <c r="E7" t="s">
        <v>51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D8">
        <v>1.1000000000000001</v>
      </c>
      <c r="E8" t="s">
        <v>51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D9">
        <v>1</v>
      </c>
      <c r="E9" t="s">
        <v>51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D10">
        <v>0.90000000000000102</v>
      </c>
      <c r="E10" t="s">
        <v>51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D11">
        <v>0.80000000000000104</v>
      </c>
      <c r="E11" t="s">
        <v>51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D12">
        <v>0.70000000000000095</v>
      </c>
      <c r="E12" t="s">
        <v>51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D13">
        <v>0.6</v>
      </c>
      <c r="E13" t="s">
        <v>51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D14">
        <v>0.5</v>
      </c>
      <c r="E14" t="s">
        <v>51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D15">
        <v>0.4</v>
      </c>
      <c r="E15" t="s">
        <v>51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D16">
        <v>0.3</v>
      </c>
      <c r="E16" t="s">
        <v>51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D17">
        <v>0.2</v>
      </c>
      <c r="E17" t="s">
        <v>51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D18">
        <v>9.9999999999999895E-2</v>
      </c>
      <c r="E18" t="s">
        <v>51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D19">
        <v>0</v>
      </c>
      <c r="E19" t="s">
        <v>51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K19" t="s">
        <v>24</v>
      </c>
      <c r="L19" t="s">
        <v>26</v>
      </c>
      <c r="O19" t="s">
        <v>23</v>
      </c>
    </row>
    <row r="20" spans="1:15">
      <c r="A20" t="s">
        <v>15</v>
      </c>
      <c r="D20">
        <v>-0.1</v>
      </c>
      <c r="E20" t="s">
        <v>51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O20" t="s">
        <v>18</v>
      </c>
    </row>
    <row r="21" spans="1:15">
      <c r="A21" t="s">
        <v>15</v>
      </c>
      <c r="D21">
        <v>-0.2</v>
      </c>
      <c r="E21" t="s">
        <v>51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D22">
        <v>-0.3</v>
      </c>
      <c r="E22" t="s">
        <v>51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D23">
        <v>1.7</v>
      </c>
      <c r="E23" t="s">
        <v>51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D24">
        <v>1.6</v>
      </c>
      <c r="E24" t="s">
        <v>51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D25">
        <v>1.5</v>
      </c>
      <c r="E25" t="s">
        <v>51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D26">
        <v>1.4</v>
      </c>
      <c r="E26" t="s">
        <v>51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D27">
        <v>1.3</v>
      </c>
      <c r="E27" t="s">
        <v>51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D28">
        <v>1.2</v>
      </c>
      <c r="E28" t="s">
        <v>51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D29">
        <v>1.1000000000000001</v>
      </c>
      <c r="E29" t="s">
        <v>51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D30">
        <v>1</v>
      </c>
      <c r="E30" t="s">
        <v>51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D31">
        <v>0.90000000000000102</v>
      </c>
      <c r="E31" t="s">
        <v>51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D32">
        <v>0.80000000000000104</v>
      </c>
      <c r="E32" t="s">
        <v>51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D33">
        <v>0.70000000000000095</v>
      </c>
      <c r="E33" t="s">
        <v>51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D34">
        <v>0.6</v>
      </c>
      <c r="E34" t="s">
        <v>51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D35">
        <v>0.5</v>
      </c>
      <c r="E35" t="s">
        <v>51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D36">
        <v>0.4</v>
      </c>
      <c r="E36" t="s">
        <v>51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D37">
        <v>0.3</v>
      </c>
      <c r="E37" t="s">
        <v>51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L37" t="s">
        <v>20</v>
      </c>
      <c r="M37" t="s">
        <v>23</v>
      </c>
      <c r="N37" t="s">
        <v>18</v>
      </c>
      <c r="O37" t="s">
        <v>24</v>
      </c>
    </row>
    <row r="38" spans="1:15">
      <c r="A38" t="s">
        <v>27</v>
      </c>
      <c r="D38">
        <v>0.2</v>
      </c>
      <c r="E38" t="s">
        <v>51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  <c r="K38" t="s">
        <v>20</v>
      </c>
    </row>
    <row r="39" spans="1:15">
      <c r="A39" t="s">
        <v>27</v>
      </c>
      <c r="D39">
        <v>9.9999999999999895E-2</v>
      </c>
      <c r="E39" t="s">
        <v>51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D40">
        <v>0</v>
      </c>
      <c r="E40" t="s">
        <v>51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D41">
        <v>-0.1</v>
      </c>
      <c r="E41" t="s">
        <v>51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D42">
        <v>-0.2</v>
      </c>
      <c r="E42" t="s">
        <v>51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D43">
        <v>-0.3</v>
      </c>
      <c r="E43" t="s">
        <v>51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D44">
        <v>1.7</v>
      </c>
      <c r="E44" t="s">
        <v>51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D45">
        <v>1.6</v>
      </c>
      <c r="E45" t="s">
        <v>51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D46">
        <v>1.5</v>
      </c>
      <c r="E46" t="s">
        <v>51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D47">
        <v>1.4</v>
      </c>
      <c r="E47" t="s">
        <v>51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D48">
        <v>1.3</v>
      </c>
      <c r="E48" t="s">
        <v>51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D49">
        <v>1.2</v>
      </c>
      <c r="E49" t="s">
        <v>51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D50">
        <v>1.1000000000000001</v>
      </c>
      <c r="E50" t="s">
        <v>51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D51">
        <v>1</v>
      </c>
      <c r="E51" t="s">
        <v>51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D52">
        <v>0.90000000000000102</v>
      </c>
      <c r="E52" t="s">
        <v>51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D53">
        <v>0.80000000000000104</v>
      </c>
      <c r="E53" t="s">
        <v>51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D54">
        <v>0.70000000000000095</v>
      </c>
      <c r="E54" t="s">
        <v>51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N54" t="s">
        <v>17</v>
      </c>
      <c r="O54" t="s">
        <v>25</v>
      </c>
    </row>
    <row r="55" spans="1:15">
      <c r="A55" t="s">
        <v>28</v>
      </c>
      <c r="D55">
        <v>0.6</v>
      </c>
      <c r="E55" t="s">
        <v>51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</row>
    <row r="56" spans="1:15">
      <c r="A56" t="s">
        <v>28</v>
      </c>
      <c r="D56">
        <v>0.5</v>
      </c>
      <c r="E56" t="s">
        <v>51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D57">
        <v>0.4</v>
      </c>
      <c r="E57" t="s">
        <v>51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D58">
        <v>0.3</v>
      </c>
      <c r="E58" t="s">
        <v>51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D59">
        <v>0.2</v>
      </c>
      <c r="E59" t="s">
        <v>51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D60">
        <v>9.9999999999999895E-2</v>
      </c>
      <c r="E60" t="s">
        <v>51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D61">
        <v>0</v>
      </c>
      <c r="E61" t="s">
        <v>51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D62">
        <v>-0.1</v>
      </c>
      <c r="E62" t="s">
        <v>51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D63">
        <v>-0.2</v>
      </c>
      <c r="E63" t="s">
        <v>51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D64">
        <v>-0.3</v>
      </c>
      <c r="E64" t="s">
        <v>51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D65">
        <v>1.7</v>
      </c>
      <c r="E65" t="s">
        <v>51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D66">
        <v>1.6</v>
      </c>
      <c r="E66" t="s">
        <v>51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D67">
        <v>1.5</v>
      </c>
      <c r="E67" t="s">
        <v>51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D68">
        <v>1.4</v>
      </c>
      <c r="E68" t="s">
        <v>51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D69">
        <v>1.3</v>
      </c>
      <c r="E69" t="s">
        <v>51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D70">
        <v>1.2</v>
      </c>
      <c r="E70" t="s">
        <v>51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D71">
        <v>1.1000000000000001</v>
      </c>
      <c r="E71" t="s">
        <v>51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  <c r="O71" t="s">
        <v>21</v>
      </c>
    </row>
    <row r="72" spans="1:15">
      <c r="A72" t="s">
        <v>29</v>
      </c>
      <c r="D72">
        <v>1</v>
      </c>
      <c r="E72" t="s">
        <v>51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</row>
    <row r="73" spans="1:15">
      <c r="A73" t="s">
        <v>29</v>
      </c>
      <c r="D73">
        <v>0.90000000000000102</v>
      </c>
      <c r="E73" t="s">
        <v>51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</row>
    <row r="74" spans="1:15">
      <c r="A74" t="s">
        <v>29</v>
      </c>
      <c r="D74">
        <v>0.80000000000000104</v>
      </c>
      <c r="E74" t="s">
        <v>51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D75">
        <v>0.70000000000000095</v>
      </c>
      <c r="E75" t="s">
        <v>51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D76">
        <v>0.6</v>
      </c>
      <c r="E76" t="s">
        <v>51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D77">
        <v>0.5</v>
      </c>
      <c r="E77" t="s">
        <v>51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D78">
        <v>0.4</v>
      </c>
      <c r="E78" t="s">
        <v>51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D79">
        <v>0.3</v>
      </c>
      <c r="E79" t="s">
        <v>51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D80">
        <v>0.2</v>
      </c>
      <c r="E80" t="s">
        <v>51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D81">
        <v>9.9999999999999895E-2</v>
      </c>
      <c r="E81" t="s">
        <v>51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D82">
        <v>0</v>
      </c>
      <c r="E82" t="s">
        <v>51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D83">
        <v>-0.1</v>
      </c>
      <c r="E83" t="s">
        <v>51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D84">
        <v>-0.2</v>
      </c>
      <c r="E84" t="s">
        <v>51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D85">
        <v>-0.3</v>
      </c>
      <c r="E85" t="s">
        <v>51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D86">
        <v>1.7</v>
      </c>
      <c r="E86" t="s">
        <v>51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D87">
        <v>1.6</v>
      </c>
      <c r="E87" t="s">
        <v>51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D88">
        <v>1.5</v>
      </c>
      <c r="E88" t="s">
        <v>51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M88" t="s">
        <v>20</v>
      </c>
      <c r="N88" t="s">
        <v>19</v>
      </c>
      <c r="O88" t="s">
        <v>23</v>
      </c>
    </row>
    <row r="89" spans="1:15">
      <c r="A89" t="s">
        <v>30</v>
      </c>
      <c r="D89">
        <v>1.4</v>
      </c>
      <c r="E89" t="s">
        <v>51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</row>
    <row r="90" spans="1:15">
      <c r="A90" t="s">
        <v>30</v>
      </c>
      <c r="D90">
        <v>1.3</v>
      </c>
      <c r="E90" t="s">
        <v>51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</row>
    <row r="91" spans="1:15">
      <c r="A91" t="s">
        <v>30</v>
      </c>
      <c r="D91">
        <v>1.2</v>
      </c>
      <c r="E91" t="s">
        <v>51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D92">
        <v>1.1000000000000001</v>
      </c>
      <c r="E92" t="s">
        <v>51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D93">
        <v>1</v>
      </c>
      <c r="E93" t="s">
        <v>51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D94">
        <v>0.90000000000000102</v>
      </c>
      <c r="E94" t="s">
        <v>51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D95">
        <v>0.80000000000000104</v>
      </c>
      <c r="E95" t="s">
        <v>51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D96">
        <v>0.70000000000000095</v>
      </c>
      <c r="E96" t="s">
        <v>51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4">
      <c r="A97" t="s">
        <v>30</v>
      </c>
      <c r="D97">
        <v>0.6</v>
      </c>
      <c r="E97" t="s">
        <v>51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4">
      <c r="A98" t="s">
        <v>30</v>
      </c>
      <c r="D98">
        <v>0.5</v>
      </c>
      <c r="E98" t="s">
        <v>51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4">
      <c r="A99" t="s">
        <v>30</v>
      </c>
      <c r="D99">
        <v>0.4</v>
      </c>
      <c r="E99" t="s">
        <v>51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4">
      <c r="A100" t="s">
        <v>30</v>
      </c>
      <c r="D100">
        <v>0.3</v>
      </c>
      <c r="E100" t="s">
        <v>51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4">
      <c r="A101" t="s">
        <v>30</v>
      </c>
      <c r="D101">
        <v>0.2</v>
      </c>
      <c r="E101" t="s">
        <v>51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4">
      <c r="A102" t="s">
        <v>30</v>
      </c>
      <c r="D102">
        <v>9.9999999999999895E-2</v>
      </c>
      <c r="E102" t="s">
        <v>51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4">
      <c r="A103" t="s">
        <v>30</v>
      </c>
      <c r="D103">
        <v>0</v>
      </c>
      <c r="E103" t="s">
        <v>51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4">
      <c r="A104" t="s">
        <v>30</v>
      </c>
      <c r="D104">
        <v>-0.1</v>
      </c>
      <c r="E104" t="s">
        <v>51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4">
      <c r="A105" t="s">
        <v>30</v>
      </c>
      <c r="D105">
        <v>-0.2</v>
      </c>
      <c r="E105" t="s">
        <v>51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4">
      <c r="A106" t="s">
        <v>30</v>
      </c>
      <c r="D106">
        <v>-0.3</v>
      </c>
      <c r="E106" t="s">
        <v>51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4">
      <c r="A107" t="s">
        <v>31</v>
      </c>
      <c r="D107">
        <v>1.7</v>
      </c>
      <c r="E107" t="s">
        <v>51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M107" t="s">
        <v>23</v>
      </c>
      <c r="N107" t="s">
        <v>20</v>
      </c>
    </row>
    <row r="108" spans="1:14">
      <c r="A108" t="s">
        <v>31</v>
      </c>
      <c r="D108">
        <v>1.6</v>
      </c>
      <c r="E108" t="s">
        <v>51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  <c r="N108" t="s">
        <v>22</v>
      </c>
    </row>
    <row r="109" spans="1:14">
      <c r="A109" t="s">
        <v>31</v>
      </c>
      <c r="D109">
        <v>1.5</v>
      </c>
      <c r="E109" t="s">
        <v>51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4">
      <c r="A110" t="s">
        <v>31</v>
      </c>
      <c r="D110">
        <v>1.4</v>
      </c>
      <c r="E110" t="s">
        <v>51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4">
      <c r="A111" t="s">
        <v>31</v>
      </c>
      <c r="D111">
        <v>1.3</v>
      </c>
      <c r="E111" t="s">
        <v>51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4">
      <c r="A112" t="s">
        <v>31</v>
      </c>
      <c r="D112">
        <v>1.2</v>
      </c>
      <c r="E112" t="s">
        <v>51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D113">
        <v>1.1000000000000001</v>
      </c>
      <c r="E113" t="s">
        <v>51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D114">
        <v>1</v>
      </c>
      <c r="E114" t="s">
        <v>51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D115">
        <v>0.90000000000000102</v>
      </c>
      <c r="E115" t="s">
        <v>51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D116">
        <v>0.80000000000000104</v>
      </c>
      <c r="E116" t="s">
        <v>51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D117">
        <v>0.70000000000000095</v>
      </c>
      <c r="E117" t="s">
        <v>51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D118">
        <v>0.6</v>
      </c>
      <c r="E118" t="s">
        <v>51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D119">
        <v>0.5</v>
      </c>
      <c r="E119" t="s">
        <v>51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D120">
        <v>0.4</v>
      </c>
      <c r="E120" t="s">
        <v>51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D121">
        <v>0.3</v>
      </c>
      <c r="E121" t="s">
        <v>51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D122">
        <v>0.2</v>
      </c>
      <c r="E122" t="s">
        <v>51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D123">
        <v>9.9999999999999895E-2</v>
      </c>
      <c r="E123" t="s">
        <v>51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D124">
        <v>0</v>
      </c>
      <c r="E124" t="s">
        <v>51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D125">
        <v>-0.1</v>
      </c>
      <c r="E125" t="s">
        <v>51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D126">
        <v>-0.2</v>
      </c>
      <c r="E126" t="s">
        <v>51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D127">
        <v>-0.3</v>
      </c>
      <c r="E127" t="s">
        <v>51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52</v>
      </c>
      <c r="D128">
        <v>1.7</v>
      </c>
      <c r="E128" t="s">
        <v>51</v>
      </c>
      <c r="F128" t="s">
        <v>24</v>
      </c>
      <c r="G128" t="s">
        <v>18</v>
      </c>
      <c r="H128" t="s">
        <v>22</v>
      </c>
      <c r="I128" t="s">
        <v>21</v>
      </c>
      <c r="J128" t="s">
        <v>26</v>
      </c>
      <c r="K128" t="s">
        <v>24</v>
      </c>
      <c r="L128" t="s">
        <v>18</v>
      </c>
      <c r="M128" t="s">
        <v>22</v>
      </c>
      <c r="N128" t="s">
        <v>21</v>
      </c>
      <c r="O128" t="s">
        <v>26</v>
      </c>
    </row>
    <row r="129" spans="1:15">
      <c r="A129" t="s">
        <v>52</v>
      </c>
      <c r="D129">
        <v>1.6</v>
      </c>
      <c r="E129" t="s">
        <v>51</v>
      </c>
      <c r="F129" t="s">
        <v>25</v>
      </c>
      <c r="G129" t="s">
        <v>21</v>
      </c>
      <c r="H129" t="s">
        <v>19</v>
      </c>
      <c r="I129" t="s">
        <v>23</v>
      </c>
      <c r="J129" t="s">
        <v>24</v>
      </c>
      <c r="K129" t="s">
        <v>25</v>
      </c>
      <c r="L129" t="s">
        <v>19</v>
      </c>
      <c r="M129" t="s">
        <v>21</v>
      </c>
      <c r="N129" t="s">
        <v>23</v>
      </c>
      <c r="O129" t="s">
        <v>24</v>
      </c>
    </row>
    <row r="130" spans="1:15">
      <c r="A130" t="s">
        <v>52</v>
      </c>
      <c r="D130">
        <v>1.5</v>
      </c>
      <c r="E130" t="s">
        <v>51</v>
      </c>
      <c r="F130" t="s">
        <v>18</v>
      </c>
      <c r="G130" t="s">
        <v>26</v>
      </c>
      <c r="H130" t="s">
        <v>22</v>
      </c>
      <c r="I130" t="s">
        <v>23</v>
      </c>
      <c r="J130" t="s">
        <v>19</v>
      </c>
      <c r="K130" t="s">
        <v>18</v>
      </c>
      <c r="L130" t="s">
        <v>26</v>
      </c>
      <c r="M130" t="s">
        <v>22</v>
      </c>
      <c r="N130" t="s">
        <v>23</v>
      </c>
      <c r="O130" t="s">
        <v>19</v>
      </c>
    </row>
    <row r="131" spans="1:15">
      <c r="A131" t="s">
        <v>52</v>
      </c>
      <c r="D131">
        <v>1.4</v>
      </c>
      <c r="E131" t="s">
        <v>51</v>
      </c>
      <c r="F131" t="s">
        <v>17</v>
      </c>
      <c r="G131" t="s">
        <v>19</v>
      </c>
      <c r="H131" t="s">
        <v>24</v>
      </c>
      <c r="I131" t="s">
        <v>18</v>
      </c>
      <c r="J131" t="s">
        <v>23</v>
      </c>
      <c r="K131" t="s">
        <v>17</v>
      </c>
      <c r="L131" t="s">
        <v>19</v>
      </c>
      <c r="M131" t="s">
        <v>24</v>
      </c>
      <c r="N131" t="s">
        <v>18</v>
      </c>
      <c r="O131" t="s">
        <v>23</v>
      </c>
    </row>
    <row r="132" spans="1:15">
      <c r="A132" t="s">
        <v>52</v>
      </c>
      <c r="D132">
        <v>1.3</v>
      </c>
      <c r="E132" t="s">
        <v>51</v>
      </c>
      <c r="F132" t="s">
        <v>17</v>
      </c>
      <c r="G132" t="s">
        <v>19</v>
      </c>
      <c r="H132" t="s">
        <v>26</v>
      </c>
      <c r="I132" t="s">
        <v>23</v>
      </c>
      <c r="J132" t="s">
        <v>20</v>
      </c>
      <c r="K132" t="s">
        <v>17</v>
      </c>
      <c r="L132" t="s">
        <v>19</v>
      </c>
      <c r="M132" t="s">
        <v>26</v>
      </c>
      <c r="N132" t="s">
        <v>23</v>
      </c>
      <c r="O132" t="s">
        <v>20</v>
      </c>
    </row>
    <row r="133" spans="1:15">
      <c r="A133" t="s">
        <v>52</v>
      </c>
      <c r="D133">
        <v>1.2</v>
      </c>
      <c r="E133" t="s">
        <v>51</v>
      </c>
      <c r="F133" t="s">
        <v>24</v>
      </c>
      <c r="G133" t="s">
        <v>26</v>
      </c>
      <c r="H133" t="s">
        <v>25</v>
      </c>
      <c r="I133" t="s">
        <v>22</v>
      </c>
      <c r="J133" t="s">
        <v>20</v>
      </c>
      <c r="K133" t="s">
        <v>24</v>
      </c>
      <c r="L133" t="s">
        <v>26</v>
      </c>
      <c r="M133" t="s">
        <v>25</v>
      </c>
      <c r="N133" t="s">
        <v>22</v>
      </c>
      <c r="O133" t="s">
        <v>20</v>
      </c>
    </row>
    <row r="134" spans="1:15">
      <c r="A134" t="s">
        <v>52</v>
      </c>
      <c r="D134">
        <v>1.1000000000000001</v>
      </c>
      <c r="E134" t="s">
        <v>51</v>
      </c>
      <c r="F134" t="s">
        <v>17</v>
      </c>
      <c r="G134" t="s">
        <v>26</v>
      </c>
      <c r="H134" t="s">
        <v>21</v>
      </c>
      <c r="I134" t="s">
        <v>20</v>
      </c>
      <c r="J134" t="s">
        <v>22</v>
      </c>
      <c r="K134" t="s">
        <v>17</v>
      </c>
      <c r="L134" t="s">
        <v>26</v>
      </c>
      <c r="M134" t="s">
        <v>21</v>
      </c>
      <c r="N134" t="s">
        <v>20</v>
      </c>
      <c r="O134" t="s">
        <v>22</v>
      </c>
    </row>
    <row r="135" spans="1:15">
      <c r="A135" t="s">
        <v>52</v>
      </c>
      <c r="D135">
        <v>1</v>
      </c>
      <c r="E135" t="s">
        <v>51</v>
      </c>
      <c r="F135" t="s">
        <v>19</v>
      </c>
      <c r="G135" t="s">
        <v>21</v>
      </c>
      <c r="H135" t="s">
        <v>23</v>
      </c>
      <c r="I135" t="s">
        <v>17</v>
      </c>
      <c r="J135" t="s">
        <v>24</v>
      </c>
      <c r="K135" t="s">
        <v>19</v>
      </c>
      <c r="L135" t="s">
        <v>21</v>
      </c>
      <c r="M135" t="s">
        <v>23</v>
      </c>
      <c r="N135" t="s">
        <v>17</v>
      </c>
      <c r="O135" t="s">
        <v>24</v>
      </c>
    </row>
    <row r="136" spans="1:15">
      <c r="A136" t="s">
        <v>52</v>
      </c>
      <c r="D136">
        <v>0.90000000000000102</v>
      </c>
      <c r="E136" t="s">
        <v>51</v>
      </c>
      <c r="F136" t="s">
        <v>26</v>
      </c>
      <c r="G136" t="s">
        <v>19</v>
      </c>
      <c r="H136" t="s">
        <v>21</v>
      </c>
      <c r="I136" t="s">
        <v>25</v>
      </c>
      <c r="J136" t="s">
        <v>20</v>
      </c>
      <c r="K136" t="s">
        <v>26</v>
      </c>
      <c r="L136" t="s">
        <v>19</v>
      </c>
      <c r="M136" t="s">
        <v>21</v>
      </c>
      <c r="N136" t="s">
        <v>25</v>
      </c>
      <c r="O136" t="s">
        <v>20</v>
      </c>
    </row>
    <row r="137" spans="1:15">
      <c r="A137" t="s">
        <v>52</v>
      </c>
      <c r="D137">
        <v>0.80000000000000104</v>
      </c>
      <c r="E137" t="s">
        <v>51</v>
      </c>
      <c r="F137" t="s">
        <v>26</v>
      </c>
      <c r="G137" t="s">
        <v>21</v>
      </c>
      <c r="H137" t="s">
        <v>19</v>
      </c>
      <c r="I137" t="s">
        <v>24</v>
      </c>
      <c r="J137" t="s">
        <v>22</v>
      </c>
      <c r="K137" t="s">
        <v>26</v>
      </c>
      <c r="L137" t="s">
        <v>21</v>
      </c>
      <c r="M137" t="s">
        <v>19</v>
      </c>
      <c r="N137" t="s">
        <v>24</v>
      </c>
      <c r="O137" t="s">
        <v>22</v>
      </c>
    </row>
    <row r="138" spans="1:15">
      <c r="A138" t="s">
        <v>52</v>
      </c>
      <c r="D138">
        <v>0.70000000000000095</v>
      </c>
      <c r="E138" t="s">
        <v>51</v>
      </c>
      <c r="F138" t="s">
        <v>25</v>
      </c>
      <c r="G138" t="s">
        <v>26</v>
      </c>
      <c r="H138" t="s">
        <v>20</v>
      </c>
      <c r="I138" t="s">
        <v>17</v>
      </c>
      <c r="J138" t="s">
        <v>24</v>
      </c>
      <c r="K138" t="s">
        <v>25</v>
      </c>
      <c r="L138" t="s">
        <v>26</v>
      </c>
      <c r="M138" t="s">
        <v>20</v>
      </c>
      <c r="N138" t="s">
        <v>17</v>
      </c>
      <c r="O138" t="s">
        <v>24</v>
      </c>
    </row>
    <row r="139" spans="1:15">
      <c r="A139" t="s">
        <v>52</v>
      </c>
      <c r="D139">
        <v>0.6</v>
      </c>
      <c r="E139" t="s">
        <v>51</v>
      </c>
      <c r="F139" t="s">
        <v>23</v>
      </c>
      <c r="G139" t="s">
        <v>20</v>
      </c>
      <c r="H139" t="s">
        <v>21</v>
      </c>
      <c r="I139" t="s">
        <v>18</v>
      </c>
      <c r="J139" t="s">
        <v>19</v>
      </c>
      <c r="K139" t="s">
        <v>23</v>
      </c>
      <c r="L139" t="s">
        <v>20</v>
      </c>
      <c r="M139" t="s">
        <v>21</v>
      </c>
      <c r="N139" t="s">
        <v>18</v>
      </c>
      <c r="O139" t="s">
        <v>19</v>
      </c>
    </row>
    <row r="140" spans="1:15">
      <c r="A140" t="s">
        <v>52</v>
      </c>
      <c r="D140">
        <v>0.5</v>
      </c>
      <c r="E140" t="s">
        <v>51</v>
      </c>
      <c r="F140" t="s">
        <v>22</v>
      </c>
      <c r="G140" t="s">
        <v>20</v>
      </c>
      <c r="H140" t="s">
        <v>25</v>
      </c>
      <c r="I140" t="s">
        <v>26</v>
      </c>
      <c r="J140" t="s">
        <v>24</v>
      </c>
      <c r="K140" t="s">
        <v>22</v>
      </c>
      <c r="L140" t="s">
        <v>20</v>
      </c>
      <c r="M140" t="s">
        <v>25</v>
      </c>
      <c r="N140" t="s">
        <v>26</v>
      </c>
      <c r="O140" t="s">
        <v>24</v>
      </c>
    </row>
    <row r="141" spans="1:15">
      <c r="A141" t="s">
        <v>52</v>
      </c>
      <c r="D141">
        <v>0.4</v>
      </c>
      <c r="E141" t="s">
        <v>51</v>
      </c>
      <c r="F141" t="s">
        <v>21</v>
      </c>
      <c r="G141" t="s">
        <v>22</v>
      </c>
      <c r="H141" t="s">
        <v>20</v>
      </c>
      <c r="I141" t="s">
        <v>17</v>
      </c>
      <c r="J141" t="s">
        <v>25</v>
      </c>
      <c r="K141" t="s">
        <v>21</v>
      </c>
      <c r="L141" t="s">
        <v>22</v>
      </c>
      <c r="M141" t="s">
        <v>20</v>
      </c>
      <c r="N141" t="s">
        <v>17</v>
      </c>
      <c r="O141" t="s">
        <v>25</v>
      </c>
    </row>
    <row r="142" spans="1:15">
      <c r="A142" t="s">
        <v>52</v>
      </c>
      <c r="D142">
        <v>0.3</v>
      </c>
      <c r="E142" t="s">
        <v>51</v>
      </c>
      <c r="F142" t="s">
        <v>26</v>
      </c>
      <c r="G142" t="s">
        <v>25</v>
      </c>
      <c r="H142" t="s">
        <v>20</v>
      </c>
      <c r="I142" t="s">
        <v>19</v>
      </c>
      <c r="J142" t="s">
        <v>17</v>
      </c>
      <c r="K142" t="s">
        <v>26</v>
      </c>
      <c r="L142" t="s">
        <v>25</v>
      </c>
      <c r="M142" t="s">
        <v>20</v>
      </c>
      <c r="N142" t="s">
        <v>19</v>
      </c>
      <c r="O142" t="s">
        <v>17</v>
      </c>
    </row>
    <row r="143" spans="1:15">
      <c r="A143" t="s">
        <v>52</v>
      </c>
      <c r="D143">
        <v>0.2</v>
      </c>
      <c r="E143" t="s">
        <v>51</v>
      </c>
      <c r="F143" t="s">
        <v>19</v>
      </c>
      <c r="G143" t="s">
        <v>23</v>
      </c>
      <c r="H143" t="s">
        <v>22</v>
      </c>
      <c r="I143" t="s">
        <v>21</v>
      </c>
      <c r="J143" t="s">
        <v>26</v>
      </c>
      <c r="K143" t="s">
        <v>19</v>
      </c>
      <c r="L143" t="s">
        <v>23</v>
      </c>
    </row>
    <row r="144" spans="1:15">
      <c r="A144" t="s">
        <v>52</v>
      </c>
      <c r="D144">
        <v>9.9999999999999895E-2</v>
      </c>
      <c r="E144" t="s">
        <v>51</v>
      </c>
      <c r="F144" t="s">
        <v>18</v>
      </c>
      <c r="G144" t="s">
        <v>21</v>
      </c>
      <c r="H144" t="s">
        <v>23</v>
      </c>
      <c r="I144" t="s">
        <v>26</v>
      </c>
      <c r="J144" t="s">
        <v>25</v>
      </c>
    </row>
    <row r="145" spans="1:15">
      <c r="A145" t="s">
        <v>52</v>
      </c>
      <c r="D145">
        <v>0</v>
      </c>
      <c r="E145" t="s">
        <v>51</v>
      </c>
      <c r="F145" t="s">
        <v>26</v>
      </c>
      <c r="G145" t="s">
        <v>17</v>
      </c>
      <c r="H145" t="s">
        <v>24</v>
      </c>
      <c r="I145" t="s">
        <v>21</v>
      </c>
      <c r="J145" t="s">
        <v>18</v>
      </c>
    </row>
    <row r="146" spans="1:15">
      <c r="A146" t="s">
        <v>52</v>
      </c>
      <c r="D146">
        <v>-0.1</v>
      </c>
      <c r="E146" t="s">
        <v>51</v>
      </c>
      <c r="F146" t="s">
        <v>23</v>
      </c>
      <c r="G146" t="s">
        <v>26</v>
      </c>
      <c r="H146" t="s">
        <v>18</v>
      </c>
      <c r="I146" t="s">
        <v>19</v>
      </c>
      <c r="J146" t="s">
        <v>20</v>
      </c>
    </row>
    <row r="147" spans="1:15">
      <c r="A147" t="s">
        <v>52</v>
      </c>
      <c r="D147">
        <v>-0.2</v>
      </c>
      <c r="E147" t="s">
        <v>51</v>
      </c>
      <c r="F147" t="s">
        <v>22</v>
      </c>
      <c r="G147" t="s">
        <v>21</v>
      </c>
      <c r="H147" t="s">
        <v>25</v>
      </c>
      <c r="I147" t="s">
        <v>23</v>
      </c>
      <c r="J147" t="s">
        <v>19</v>
      </c>
    </row>
    <row r="148" spans="1:15">
      <c r="A148" t="s">
        <v>52</v>
      </c>
      <c r="D148">
        <v>-0.3</v>
      </c>
      <c r="E148" t="s">
        <v>51</v>
      </c>
      <c r="F148" t="s">
        <v>23</v>
      </c>
      <c r="G148" t="s">
        <v>24</v>
      </c>
      <c r="H148" t="s">
        <v>18</v>
      </c>
      <c r="I148" t="s">
        <v>19</v>
      </c>
      <c r="J148" t="s">
        <v>22</v>
      </c>
    </row>
    <row r="149" spans="1:15">
      <c r="A149" t="s">
        <v>53</v>
      </c>
      <c r="D149">
        <v>1.7</v>
      </c>
      <c r="E149" t="s">
        <v>51</v>
      </c>
      <c r="F149" t="s">
        <v>19</v>
      </c>
      <c r="G149" t="s">
        <v>17</v>
      </c>
      <c r="H149" t="s">
        <v>20</v>
      </c>
      <c r="I149" t="s">
        <v>21</v>
      </c>
      <c r="J149" t="s">
        <v>23</v>
      </c>
      <c r="K149" t="s">
        <v>19</v>
      </c>
      <c r="L149" t="s">
        <v>17</v>
      </c>
      <c r="M149" t="s">
        <v>20</v>
      </c>
      <c r="N149" t="s">
        <v>21</v>
      </c>
      <c r="O149" t="s">
        <v>23</v>
      </c>
    </row>
    <row r="150" spans="1:15">
      <c r="A150" t="s">
        <v>53</v>
      </c>
      <c r="D150">
        <v>1.6</v>
      </c>
      <c r="E150" t="s">
        <v>51</v>
      </c>
      <c r="F150" t="s">
        <v>21</v>
      </c>
      <c r="G150" t="s">
        <v>17</v>
      </c>
      <c r="H150" t="s">
        <v>18</v>
      </c>
      <c r="I150" t="s">
        <v>22</v>
      </c>
      <c r="J150" t="s">
        <v>23</v>
      </c>
      <c r="K150" t="s">
        <v>21</v>
      </c>
      <c r="L150" t="s">
        <v>17</v>
      </c>
      <c r="M150" t="s">
        <v>18</v>
      </c>
      <c r="N150" t="s">
        <v>22</v>
      </c>
      <c r="O150" t="s">
        <v>23</v>
      </c>
    </row>
    <row r="151" spans="1:15">
      <c r="A151" t="s">
        <v>53</v>
      </c>
      <c r="D151">
        <v>1.5</v>
      </c>
      <c r="E151" t="s">
        <v>51</v>
      </c>
      <c r="F151" t="s">
        <v>26</v>
      </c>
      <c r="G151" t="s">
        <v>23</v>
      </c>
      <c r="H151" t="s">
        <v>22</v>
      </c>
      <c r="I151" t="s">
        <v>25</v>
      </c>
      <c r="J151" t="s">
        <v>21</v>
      </c>
      <c r="K151" t="s">
        <v>26</v>
      </c>
      <c r="L151" t="s">
        <v>23</v>
      </c>
      <c r="M151" t="s">
        <v>22</v>
      </c>
      <c r="N151" t="s">
        <v>25</v>
      </c>
      <c r="O151" t="s">
        <v>21</v>
      </c>
    </row>
    <row r="152" spans="1:15">
      <c r="A152" t="s">
        <v>53</v>
      </c>
      <c r="D152">
        <v>1.4</v>
      </c>
      <c r="E152" t="s">
        <v>51</v>
      </c>
      <c r="F152" t="s">
        <v>20</v>
      </c>
      <c r="G152" t="s">
        <v>22</v>
      </c>
      <c r="H152" t="s">
        <v>23</v>
      </c>
      <c r="I152" t="s">
        <v>17</v>
      </c>
      <c r="J152" t="s">
        <v>26</v>
      </c>
      <c r="K152" t="s">
        <v>20</v>
      </c>
      <c r="L152" t="s">
        <v>22</v>
      </c>
      <c r="M152" t="s">
        <v>23</v>
      </c>
      <c r="N152" t="s">
        <v>17</v>
      </c>
      <c r="O152" t="s">
        <v>26</v>
      </c>
    </row>
    <row r="153" spans="1:15">
      <c r="A153" t="s">
        <v>53</v>
      </c>
      <c r="D153">
        <v>1.3</v>
      </c>
      <c r="E153" t="s">
        <v>51</v>
      </c>
      <c r="F153" t="s">
        <v>25</v>
      </c>
      <c r="G153" t="s">
        <v>20</v>
      </c>
      <c r="H153" t="s">
        <v>17</v>
      </c>
      <c r="I153" t="s">
        <v>21</v>
      </c>
      <c r="J153" t="s">
        <v>24</v>
      </c>
      <c r="K153" t="s">
        <v>25</v>
      </c>
      <c r="L153" t="s">
        <v>20</v>
      </c>
      <c r="M153" t="s">
        <v>17</v>
      </c>
      <c r="N153" t="s">
        <v>21</v>
      </c>
      <c r="O153" t="s">
        <v>24</v>
      </c>
    </row>
    <row r="154" spans="1:15">
      <c r="A154" t="s">
        <v>53</v>
      </c>
      <c r="D154">
        <v>1.2</v>
      </c>
      <c r="E154" t="s">
        <v>51</v>
      </c>
      <c r="F154" t="s">
        <v>18</v>
      </c>
      <c r="G154" t="s">
        <v>17</v>
      </c>
      <c r="H154" t="s">
        <v>24</v>
      </c>
      <c r="I154" t="s">
        <v>23</v>
      </c>
      <c r="J154" t="s">
        <v>26</v>
      </c>
      <c r="K154" t="s">
        <v>18</v>
      </c>
      <c r="L154" t="s">
        <v>17</v>
      </c>
      <c r="M154" t="s">
        <v>24</v>
      </c>
      <c r="N154" t="s">
        <v>23</v>
      </c>
      <c r="O154" t="s">
        <v>26</v>
      </c>
    </row>
    <row r="155" spans="1:15">
      <c r="A155" t="s">
        <v>53</v>
      </c>
      <c r="D155">
        <v>1.1000000000000001</v>
      </c>
      <c r="E155" t="s">
        <v>51</v>
      </c>
      <c r="F155" t="s">
        <v>24</v>
      </c>
      <c r="G155" t="s">
        <v>21</v>
      </c>
      <c r="H155" t="s">
        <v>19</v>
      </c>
      <c r="I155" t="s">
        <v>25</v>
      </c>
      <c r="J155" t="s">
        <v>26</v>
      </c>
      <c r="K155" t="s">
        <v>24</v>
      </c>
      <c r="L155" t="s">
        <v>21</v>
      </c>
      <c r="M155" t="s">
        <v>19</v>
      </c>
      <c r="N155" t="s">
        <v>25</v>
      </c>
      <c r="O155" t="s">
        <v>26</v>
      </c>
    </row>
    <row r="156" spans="1:15">
      <c r="A156" t="s">
        <v>53</v>
      </c>
      <c r="D156">
        <v>1</v>
      </c>
      <c r="E156" t="s">
        <v>51</v>
      </c>
      <c r="F156" t="s">
        <v>23</v>
      </c>
      <c r="G156" t="s">
        <v>26</v>
      </c>
      <c r="H156" t="s">
        <v>17</v>
      </c>
      <c r="I156" t="s">
        <v>22</v>
      </c>
      <c r="J156" t="s">
        <v>24</v>
      </c>
      <c r="K156" t="s">
        <v>23</v>
      </c>
      <c r="L156" t="s">
        <v>26</v>
      </c>
      <c r="M156" t="s">
        <v>17</v>
      </c>
      <c r="N156" t="s">
        <v>22</v>
      </c>
      <c r="O156" t="s">
        <v>24</v>
      </c>
    </row>
    <row r="157" spans="1:15">
      <c r="A157" t="s">
        <v>53</v>
      </c>
      <c r="D157">
        <v>0.90000000000000102</v>
      </c>
      <c r="E157" t="s">
        <v>51</v>
      </c>
      <c r="F157" t="s">
        <v>19</v>
      </c>
      <c r="G157" t="s">
        <v>17</v>
      </c>
      <c r="H157" t="s">
        <v>20</v>
      </c>
      <c r="I157" t="s">
        <v>24</v>
      </c>
      <c r="J157" t="s">
        <v>21</v>
      </c>
      <c r="K157" t="s">
        <v>19</v>
      </c>
      <c r="L157" t="s">
        <v>17</v>
      </c>
      <c r="M157" t="s">
        <v>20</v>
      </c>
      <c r="N157" t="s">
        <v>24</v>
      </c>
      <c r="O157" t="s">
        <v>21</v>
      </c>
    </row>
    <row r="158" spans="1:15">
      <c r="A158" t="s">
        <v>53</v>
      </c>
      <c r="D158">
        <v>0.80000000000000104</v>
      </c>
      <c r="E158" t="s">
        <v>51</v>
      </c>
      <c r="F158" t="s">
        <v>18</v>
      </c>
      <c r="G158" t="s">
        <v>24</v>
      </c>
      <c r="H158" t="s">
        <v>25</v>
      </c>
      <c r="I158" t="s">
        <v>20</v>
      </c>
      <c r="J158" t="s">
        <v>19</v>
      </c>
      <c r="K158" t="s">
        <v>18</v>
      </c>
      <c r="L158" t="s">
        <v>24</v>
      </c>
      <c r="M158" t="s">
        <v>25</v>
      </c>
      <c r="N158" t="s">
        <v>20</v>
      </c>
      <c r="O158" t="s">
        <v>19</v>
      </c>
    </row>
    <row r="159" spans="1:15">
      <c r="A159" t="s">
        <v>53</v>
      </c>
      <c r="D159">
        <v>0.70000000000000095</v>
      </c>
      <c r="E159" t="s">
        <v>51</v>
      </c>
      <c r="F159" t="s">
        <v>20</v>
      </c>
      <c r="G159" t="s">
        <v>26</v>
      </c>
      <c r="H159" t="s">
        <v>22</v>
      </c>
      <c r="I159" t="s">
        <v>17</v>
      </c>
      <c r="J159" t="s">
        <v>25</v>
      </c>
      <c r="K159" t="s">
        <v>20</v>
      </c>
      <c r="L159" t="s">
        <v>26</v>
      </c>
      <c r="M159" t="s">
        <v>22</v>
      </c>
      <c r="N159" t="s">
        <v>17</v>
      </c>
      <c r="O159" t="s">
        <v>25</v>
      </c>
    </row>
    <row r="160" spans="1:15">
      <c r="A160" t="s">
        <v>53</v>
      </c>
      <c r="D160">
        <v>0.6</v>
      </c>
      <c r="E160" t="s">
        <v>51</v>
      </c>
      <c r="F160" t="s">
        <v>22</v>
      </c>
      <c r="G160" t="s">
        <v>25</v>
      </c>
      <c r="H160" t="s">
        <v>24</v>
      </c>
      <c r="I160" t="s">
        <v>26</v>
      </c>
      <c r="J160" t="s">
        <v>17</v>
      </c>
      <c r="K160" t="s">
        <v>22</v>
      </c>
      <c r="L160" t="s">
        <v>25</v>
      </c>
      <c r="N160" t="s">
        <v>26</v>
      </c>
    </row>
    <row r="161" spans="1:15">
      <c r="A161" t="s">
        <v>53</v>
      </c>
      <c r="D161">
        <v>0.5</v>
      </c>
      <c r="E161" t="s">
        <v>51</v>
      </c>
      <c r="F161" t="s">
        <v>26</v>
      </c>
      <c r="G161" t="s">
        <v>21</v>
      </c>
      <c r="H161" t="s">
        <v>20</v>
      </c>
      <c r="I161" t="s">
        <v>25</v>
      </c>
      <c r="J161" t="s">
        <v>22</v>
      </c>
      <c r="M161" t="s">
        <v>20</v>
      </c>
      <c r="N161" t="s">
        <v>25</v>
      </c>
      <c r="O161" t="s">
        <v>22</v>
      </c>
    </row>
    <row r="162" spans="1:15">
      <c r="A162" t="s">
        <v>53</v>
      </c>
      <c r="D162">
        <v>0.4</v>
      </c>
      <c r="E162" t="s">
        <v>51</v>
      </c>
      <c r="F162" t="s">
        <v>21</v>
      </c>
      <c r="G162" t="s">
        <v>18</v>
      </c>
      <c r="H162" t="s">
        <v>23</v>
      </c>
      <c r="I162" t="s">
        <v>20</v>
      </c>
      <c r="J162" t="s">
        <v>24</v>
      </c>
    </row>
    <row r="163" spans="1:15">
      <c r="A163" t="s">
        <v>53</v>
      </c>
      <c r="D163">
        <v>0.3</v>
      </c>
      <c r="E163" t="s">
        <v>51</v>
      </c>
      <c r="F163" t="s">
        <v>22</v>
      </c>
      <c r="G163" t="s">
        <v>17</v>
      </c>
      <c r="H163" t="s">
        <v>19</v>
      </c>
      <c r="I163" t="s">
        <v>18</v>
      </c>
      <c r="J163" t="s">
        <v>26</v>
      </c>
    </row>
    <row r="164" spans="1:15">
      <c r="A164" t="s">
        <v>53</v>
      </c>
      <c r="D164">
        <v>0.2</v>
      </c>
      <c r="E164" t="s">
        <v>51</v>
      </c>
      <c r="F164" t="s">
        <v>22</v>
      </c>
      <c r="G164" t="s">
        <v>26</v>
      </c>
      <c r="H164" t="s">
        <v>18</v>
      </c>
      <c r="I164" t="s">
        <v>23</v>
      </c>
      <c r="J164" t="s">
        <v>20</v>
      </c>
    </row>
    <row r="165" spans="1:15">
      <c r="A165" t="s">
        <v>53</v>
      </c>
      <c r="D165">
        <v>9.9999999999999895E-2</v>
      </c>
      <c r="E165" t="s">
        <v>51</v>
      </c>
      <c r="F165" t="s">
        <v>24</v>
      </c>
      <c r="G165" t="s">
        <v>26</v>
      </c>
      <c r="H165" t="s">
        <v>18</v>
      </c>
      <c r="I165" t="s">
        <v>21</v>
      </c>
      <c r="J165" t="s">
        <v>23</v>
      </c>
    </row>
    <row r="166" spans="1:15">
      <c r="A166" t="s">
        <v>53</v>
      </c>
      <c r="D166">
        <v>0</v>
      </c>
      <c r="E166" t="s">
        <v>51</v>
      </c>
      <c r="F166" t="s">
        <v>22</v>
      </c>
      <c r="G166" t="s">
        <v>24</v>
      </c>
      <c r="H166" t="s">
        <v>25</v>
      </c>
      <c r="I166" t="s">
        <v>20</v>
      </c>
      <c r="J166" t="s">
        <v>23</v>
      </c>
    </row>
    <row r="167" spans="1:15">
      <c r="A167" t="s">
        <v>53</v>
      </c>
      <c r="D167">
        <v>-0.1</v>
      </c>
      <c r="E167" t="s">
        <v>51</v>
      </c>
      <c r="F167" t="s">
        <v>20</v>
      </c>
      <c r="G167" t="s">
        <v>21</v>
      </c>
      <c r="H167" t="s">
        <v>19</v>
      </c>
      <c r="I167" t="s">
        <v>17</v>
      </c>
      <c r="J167" t="s">
        <v>24</v>
      </c>
    </row>
    <row r="168" spans="1:15">
      <c r="A168" t="s">
        <v>53</v>
      </c>
      <c r="D168">
        <v>-0.2</v>
      </c>
      <c r="E168" t="s">
        <v>51</v>
      </c>
      <c r="F168" t="s">
        <v>26</v>
      </c>
      <c r="G168" t="s">
        <v>25</v>
      </c>
      <c r="H168" t="s">
        <v>20</v>
      </c>
      <c r="I168" t="s">
        <v>19</v>
      </c>
      <c r="J168" t="s">
        <v>17</v>
      </c>
    </row>
    <row r="169" spans="1:15">
      <c r="A169" t="s">
        <v>53</v>
      </c>
      <c r="D169">
        <v>-0.3</v>
      </c>
      <c r="E169" t="s">
        <v>51</v>
      </c>
      <c r="F169" t="s">
        <v>18</v>
      </c>
      <c r="G169" t="s">
        <v>26</v>
      </c>
      <c r="H169" t="s">
        <v>20</v>
      </c>
      <c r="I169" t="s">
        <v>23</v>
      </c>
      <c r="J169" t="s">
        <v>25</v>
      </c>
    </row>
    <row r="170" spans="1:15">
      <c r="A170" t="s">
        <v>54</v>
      </c>
      <c r="D170">
        <v>1.7</v>
      </c>
      <c r="E170" t="s">
        <v>51</v>
      </c>
      <c r="F170" t="s">
        <v>18</v>
      </c>
      <c r="G170" t="s">
        <v>22</v>
      </c>
      <c r="H170" t="s">
        <v>17</v>
      </c>
      <c r="I170" t="s">
        <v>19</v>
      </c>
      <c r="J170" t="s">
        <v>21</v>
      </c>
      <c r="K170" t="s">
        <v>18</v>
      </c>
      <c r="L170" t="s">
        <v>22</v>
      </c>
      <c r="M170" t="s">
        <v>17</v>
      </c>
      <c r="N170" t="s">
        <v>19</v>
      </c>
      <c r="O170" t="s">
        <v>21</v>
      </c>
    </row>
    <row r="171" spans="1:15">
      <c r="A171" t="s">
        <v>54</v>
      </c>
      <c r="D171">
        <v>1.6</v>
      </c>
      <c r="E171" t="s">
        <v>51</v>
      </c>
      <c r="F171" t="s">
        <v>20</v>
      </c>
      <c r="G171" t="s">
        <v>22</v>
      </c>
      <c r="H171" t="s">
        <v>19</v>
      </c>
      <c r="I171" t="s">
        <v>23</v>
      </c>
      <c r="J171" t="s">
        <v>26</v>
      </c>
      <c r="K171" t="s">
        <v>20</v>
      </c>
      <c r="L171" t="s">
        <v>22</v>
      </c>
      <c r="M171" t="s">
        <v>19</v>
      </c>
      <c r="N171" t="s">
        <v>23</v>
      </c>
      <c r="O171" t="s">
        <v>26</v>
      </c>
    </row>
    <row r="172" spans="1:15">
      <c r="A172" t="s">
        <v>54</v>
      </c>
      <c r="D172">
        <v>1.5</v>
      </c>
      <c r="E172" t="s">
        <v>51</v>
      </c>
      <c r="F172" t="s">
        <v>18</v>
      </c>
      <c r="G172" t="s">
        <v>25</v>
      </c>
      <c r="H172" t="s">
        <v>19</v>
      </c>
      <c r="I172" t="s">
        <v>21</v>
      </c>
      <c r="J172" t="s">
        <v>26</v>
      </c>
      <c r="K172" t="s">
        <v>18</v>
      </c>
      <c r="L172" t="s">
        <v>25</v>
      </c>
      <c r="M172" t="s">
        <v>19</v>
      </c>
      <c r="N172" t="s">
        <v>21</v>
      </c>
      <c r="O172" t="s">
        <v>26</v>
      </c>
    </row>
    <row r="173" spans="1:15">
      <c r="A173" t="s">
        <v>54</v>
      </c>
      <c r="D173">
        <v>1.4</v>
      </c>
      <c r="E173" t="s">
        <v>51</v>
      </c>
      <c r="F173" t="s">
        <v>17</v>
      </c>
      <c r="G173" t="s">
        <v>20</v>
      </c>
      <c r="H173" t="s">
        <v>23</v>
      </c>
      <c r="I173" t="s">
        <v>24</v>
      </c>
      <c r="J173" t="s">
        <v>22</v>
      </c>
      <c r="K173" t="s">
        <v>17</v>
      </c>
      <c r="L173" t="s">
        <v>20</v>
      </c>
      <c r="M173" t="s">
        <v>23</v>
      </c>
      <c r="N173" t="s">
        <v>24</v>
      </c>
      <c r="O173" t="s">
        <v>22</v>
      </c>
    </row>
    <row r="174" spans="1:15">
      <c r="A174" t="s">
        <v>54</v>
      </c>
      <c r="D174">
        <v>1.3</v>
      </c>
      <c r="E174" t="s">
        <v>51</v>
      </c>
      <c r="F174" t="s">
        <v>24</v>
      </c>
      <c r="G174" t="s">
        <v>26</v>
      </c>
      <c r="H174" t="s">
        <v>18</v>
      </c>
      <c r="I174" t="s">
        <v>20</v>
      </c>
      <c r="J174" t="s">
        <v>17</v>
      </c>
      <c r="K174" t="s">
        <v>24</v>
      </c>
      <c r="L174" t="s">
        <v>26</v>
      </c>
      <c r="M174" t="s">
        <v>18</v>
      </c>
      <c r="N174" t="s">
        <v>20</v>
      </c>
      <c r="O174" t="s">
        <v>17</v>
      </c>
    </row>
    <row r="175" spans="1:15">
      <c r="A175" t="s">
        <v>54</v>
      </c>
      <c r="D175">
        <v>1.2</v>
      </c>
      <c r="E175" t="s">
        <v>51</v>
      </c>
      <c r="F175" t="s">
        <v>18</v>
      </c>
      <c r="G175" t="s">
        <v>22</v>
      </c>
      <c r="H175" t="s">
        <v>20</v>
      </c>
      <c r="I175" t="s">
        <v>23</v>
      </c>
      <c r="J175" t="s">
        <v>26</v>
      </c>
      <c r="K175" t="s">
        <v>18</v>
      </c>
      <c r="L175" t="s">
        <v>22</v>
      </c>
      <c r="M175" t="s">
        <v>20</v>
      </c>
      <c r="N175" t="s">
        <v>23</v>
      </c>
      <c r="O175" t="s">
        <v>26</v>
      </c>
    </row>
    <row r="176" spans="1:15">
      <c r="A176" t="s">
        <v>54</v>
      </c>
      <c r="D176">
        <v>1.1000000000000001</v>
      </c>
      <c r="E176" t="s">
        <v>51</v>
      </c>
      <c r="F176" t="s">
        <v>19</v>
      </c>
      <c r="G176" t="s">
        <v>20</v>
      </c>
      <c r="H176" t="s">
        <v>24</v>
      </c>
      <c r="I176" t="s">
        <v>18</v>
      </c>
      <c r="J176" t="s">
        <v>25</v>
      </c>
      <c r="K176" t="s">
        <v>19</v>
      </c>
      <c r="L176" t="s">
        <v>20</v>
      </c>
      <c r="M176" t="s">
        <v>24</v>
      </c>
      <c r="N176" t="s">
        <v>18</v>
      </c>
      <c r="O176" t="s">
        <v>25</v>
      </c>
    </row>
    <row r="177" spans="1:15">
      <c r="A177" t="s">
        <v>54</v>
      </c>
      <c r="D177">
        <v>1</v>
      </c>
      <c r="E177" t="s">
        <v>51</v>
      </c>
      <c r="F177" t="s">
        <v>23</v>
      </c>
      <c r="G177" t="s">
        <v>19</v>
      </c>
      <c r="H177" t="s">
        <v>24</v>
      </c>
      <c r="I177" t="s">
        <v>20</v>
      </c>
      <c r="J177" t="s">
        <v>25</v>
      </c>
      <c r="M177" t="s">
        <v>24</v>
      </c>
      <c r="N177" t="s">
        <v>20</v>
      </c>
      <c r="O177" t="s">
        <v>25</v>
      </c>
    </row>
    <row r="178" spans="1:15">
      <c r="A178" t="s">
        <v>54</v>
      </c>
      <c r="D178">
        <v>0.90000000000000102</v>
      </c>
      <c r="E178" t="s">
        <v>51</v>
      </c>
      <c r="F178" t="s">
        <v>25</v>
      </c>
      <c r="G178" t="s">
        <v>21</v>
      </c>
      <c r="H178" t="s">
        <v>26</v>
      </c>
      <c r="I178" t="s">
        <v>17</v>
      </c>
      <c r="J178" t="s">
        <v>20</v>
      </c>
    </row>
    <row r="179" spans="1:15">
      <c r="A179" t="s">
        <v>54</v>
      </c>
      <c r="D179">
        <v>0.80000000000000104</v>
      </c>
      <c r="E179" t="s">
        <v>51</v>
      </c>
      <c r="F179" t="s">
        <v>25</v>
      </c>
      <c r="G179" t="s">
        <v>19</v>
      </c>
      <c r="H179" t="s">
        <v>20</v>
      </c>
      <c r="I179" t="s">
        <v>17</v>
      </c>
      <c r="J179" t="s">
        <v>22</v>
      </c>
    </row>
    <row r="180" spans="1:15">
      <c r="A180" t="s">
        <v>54</v>
      </c>
      <c r="D180">
        <v>0.70000000000000095</v>
      </c>
      <c r="E180" t="s">
        <v>51</v>
      </c>
      <c r="F180" t="s">
        <v>22</v>
      </c>
      <c r="G180" t="s">
        <v>23</v>
      </c>
      <c r="H180" t="s">
        <v>19</v>
      </c>
      <c r="I180" t="s">
        <v>25</v>
      </c>
      <c r="J180" t="s">
        <v>21</v>
      </c>
    </row>
    <row r="181" spans="1:15">
      <c r="A181" t="s">
        <v>54</v>
      </c>
      <c r="D181">
        <v>0.6</v>
      </c>
      <c r="E181" t="s">
        <v>51</v>
      </c>
      <c r="F181" t="s">
        <v>19</v>
      </c>
      <c r="G181" t="s">
        <v>25</v>
      </c>
      <c r="H181" t="s">
        <v>24</v>
      </c>
      <c r="I181" t="s">
        <v>26</v>
      </c>
      <c r="J181" t="s">
        <v>22</v>
      </c>
    </row>
    <row r="182" spans="1:15">
      <c r="A182" t="s">
        <v>54</v>
      </c>
      <c r="D182">
        <v>0.5</v>
      </c>
      <c r="E182" t="s">
        <v>51</v>
      </c>
      <c r="F182" t="s">
        <v>21</v>
      </c>
      <c r="G182" t="s">
        <v>22</v>
      </c>
      <c r="H182" t="s">
        <v>23</v>
      </c>
      <c r="I182" t="s">
        <v>17</v>
      </c>
      <c r="J182" t="s">
        <v>25</v>
      </c>
    </row>
    <row r="183" spans="1:15">
      <c r="A183" t="s">
        <v>54</v>
      </c>
      <c r="D183">
        <v>0.4</v>
      </c>
      <c r="E183" t="s">
        <v>51</v>
      </c>
      <c r="F183" t="s">
        <v>26</v>
      </c>
      <c r="G183" t="s">
        <v>25</v>
      </c>
      <c r="H183" t="s">
        <v>22</v>
      </c>
      <c r="I183" t="s">
        <v>19</v>
      </c>
      <c r="J183" t="s">
        <v>23</v>
      </c>
    </row>
    <row r="184" spans="1:15">
      <c r="A184" t="s">
        <v>54</v>
      </c>
      <c r="D184">
        <v>0.3</v>
      </c>
      <c r="E184" t="s">
        <v>51</v>
      </c>
      <c r="F184" t="s">
        <v>17</v>
      </c>
      <c r="G184" t="s">
        <v>19</v>
      </c>
      <c r="H184" t="s">
        <v>26</v>
      </c>
      <c r="I184" t="s">
        <v>23</v>
      </c>
      <c r="J184" t="s">
        <v>18</v>
      </c>
    </row>
    <row r="185" spans="1:15">
      <c r="A185" t="s">
        <v>54</v>
      </c>
      <c r="D185">
        <v>0.2</v>
      </c>
      <c r="E185" t="s">
        <v>51</v>
      </c>
      <c r="F185" t="s">
        <v>23</v>
      </c>
      <c r="G185" t="s">
        <v>26</v>
      </c>
      <c r="H185" t="s">
        <v>24</v>
      </c>
      <c r="I185" t="s">
        <v>25</v>
      </c>
      <c r="J185" t="s">
        <v>18</v>
      </c>
    </row>
    <row r="186" spans="1:15">
      <c r="A186" t="s">
        <v>54</v>
      </c>
      <c r="D186">
        <v>9.9999999999999895E-2</v>
      </c>
      <c r="E186" t="s">
        <v>51</v>
      </c>
      <c r="F186" t="s">
        <v>26</v>
      </c>
      <c r="G186" t="s">
        <v>25</v>
      </c>
      <c r="H186" t="s">
        <v>20</v>
      </c>
      <c r="I186" t="s">
        <v>17</v>
      </c>
      <c r="J186" t="s">
        <v>19</v>
      </c>
    </row>
    <row r="187" spans="1:15">
      <c r="A187" t="s">
        <v>54</v>
      </c>
      <c r="D187">
        <v>0</v>
      </c>
      <c r="E187" t="s">
        <v>51</v>
      </c>
      <c r="F187" t="s">
        <v>24</v>
      </c>
      <c r="G187" t="s">
        <v>19</v>
      </c>
      <c r="H187" t="s">
        <v>26</v>
      </c>
      <c r="I187" t="s">
        <v>18</v>
      </c>
      <c r="J187" t="s">
        <v>23</v>
      </c>
    </row>
    <row r="188" spans="1:15">
      <c r="A188" t="s">
        <v>54</v>
      </c>
      <c r="D188">
        <v>-0.1</v>
      </c>
      <c r="E188" t="s">
        <v>51</v>
      </c>
      <c r="F188" t="s">
        <v>24</v>
      </c>
      <c r="G188" t="s">
        <v>26</v>
      </c>
      <c r="H188" t="s">
        <v>21</v>
      </c>
      <c r="I188" t="s">
        <v>22</v>
      </c>
      <c r="J188" t="s">
        <v>17</v>
      </c>
    </row>
    <row r="189" spans="1:15">
      <c r="A189" t="s">
        <v>54</v>
      </c>
      <c r="D189">
        <v>-0.2</v>
      </c>
      <c r="E189" t="s">
        <v>51</v>
      </c>
      <c r="F189" t="s">
        <v>17</v>
      </c>
      <c r="G189" t="s">
        <v>25</v>
      </c>
      <c r="H189" t="s">
        <v>23</v>
      </c>
      <c r="I189" t="s">
        <v>22</v>
      </c>
      <c r="J189" t="s">
        <v>21</v>
      </c>
    </row>
    <row r="190" spans="1:15">
      <c r="A190" t="s">
        <v>54</v>
      </c>
      <c r="D190">
        <v>-0.3</v>
      </c>
      <c r="E190" t="s">
        <v>51</v>
      </c>
      <c r="F190" t="s">
        <v>24</v>
      </c>
      <c r="G190" t="s">
        <v>21</v>
      </c>
      <c r="H190" t="s">
        <v>23</v>
      </c>
      <c r="I190" t="s">
        <v>19</v>
      </c>
      <c r="J190" t="s">
        <v>22</v>
      </c>
    </row>
    <row r="191" spans="1:15">
      <c r="A191" t="s">
        <v>55</v>
      </c>
      <c r="D191">
        <v>1.7</v>
      </c>
      <c r="E191" t="s">
        <v>51</v>
      </c>
      <c r="F191" t="s">
        <v>20</v>
      </c>
      <c r="G191" t="s">
        <v>25</v>
      </c>
      <c r="H191" t="s">
        <v>24</v>
      </c>
      <c r="I191" t="s">
        <v>17</v>
      </c>
      <c r="J191" t="s">
        <v>21</v>
      </c>
      <c r="K191" t="s">
        <v>20</v>
      </c>
      <c r="L191" t="s">
        <v>25</v>
      </c>
      <c r="M191" t="s">
        <v>24</v>
      </c>
      <c r="N191" t="s">
        <v>17</v>
      </c>
      <c r="O191" t="s">
        <v>21</v>
      </c>
    </row>
    <row r="192" spans="1:15">
      <c r="A192" t="s">
        <v>55</v>
      </c>
      <c r="D192">
        <v>1.6</v>
      </c>
      <c r="E192" t="s">
        <v>51</v>
      </c>
      <c r="F192" t="s">
        <v>18</v>
      </c>
      <c r="G192" t="s">
        <v>17</v>
      </c>
      <c r="H192" t="s">
        <v>21</v>
      </c>
      <c r="I192" t="s">
        <v>25</v>
      </c>
      <c r="J192" t="s">
        <v>19</v>
      </c>
      <c r="K192" t="s">
        <v>18</v>
      </c>
      <c r="L192" t="s">
        <v>17</v>
      </c>
      <c r="M192" t="s">
        <v>21</v>
      </c>
      <c r="N192" t="s">
        <v>25</v>
      </c>
      <c r="O192" t="s">
        <v>19</v>
      </c>
    </row>
    <row r="193" spans="1:15">
      <c r="A193" t="s">
        <v>55</v>
      </c>
      <c r="D193">
        <v>1.5</v>
      </c>
      <c r="E193" t="s">
        <v>51</v>
      </c>
      <c r="F193" t="s">
        <v>22</v>
      </c>
      <c r="G193" t="s">
        <v>19</v>
      </c>
      <c r="H193" t="s">
        <v>24</v>
      </c>
      <c r="I193" t="s">
        <v>20</v>
      </c>
      <c r="J193" t="s">
        <v>23</v>
      </c>
      <c r="K193" t="s">
        <v>22</v>
      </c>
      <c r="M193" t="s">
        <v>24</v>
      </c>
      <c r="N193" t="s">
        <v>20</v>
      </c>
      <c r="O193" t="s">
        <v>23</v>
      </c>
    </row>
    <row r="194" spans="1:15">
      <c r="A194" t="s">
        <v>55</v>
      </c>
      <c r="D194">
        <v>1.4</v>
      </c>
      <c r="E194" t="s">
        <v>51</v>
      </c>
      <c r="F194" t="s">
        <v>22</v>
      </c>
      <c r="G194" t="s">
        <v>21</v>
      </c>
      <c r="H194" t="s">
        <v>17</v>
      </c>
      <c r="I194" t="s">
        <v>24</v>
      </c>
      <c r="J194" t="s">
        <v>23</v>
      </c>
      <c r="K194" t="s">
        <v>22</v>
      </c>
      <c r="L194" t="s">
        <v>21</v>
      </c>
      <c r="M194" t="s">
        <v>17</v>
      </c>
      <c r="N194" t="s">
        <v>24</v>
      </c>
      <c r="O194" t="s">
        <v>23</v>
      </c>
    </row>
    <row r="195" spans="1:15">
      <c r="A195" t="s">
        <v>55</v>
      </c>
      <c r="D195">
        <v>1.3</v>
      </c>
      <c r="E195" t="s">
        <v>51</v>
      </c>
      <c r="F195" t="s">
        <v>18</v>
      </c>
      <c r="G195" t="s">
        <v>24</v>
      </c>
      <c r="H195" t="s">
        <v>25</v>
      </c>
      <c r="I195" t="s">
        <v>21</v>
      </c>
      <c r="J195" t="s">
        <v>17</v>
      </c>
      <c r="K195" t="s">
        <v>18</v>
      </c>
      <c r="L195" t="s">
        <v>24</v>
      </c>
      <c r="M195" t="s">
        <v>25</v>
      </c>
      <c r="O195" t="s">
        <v>17</v>
      </c>
    </row>
    <row r="196" spans="1:15">
      <c r="A196" t="s">
        <v>55</v>
      </c>
      <c r="D196">
        <v>1.2</v>
      </c>
      <c r="E196" t="s">
        <v>51</v>
      </c>
      <c r="F196" t="s">
        <v>26</v>
      </c>
      <c r="G196" t="s">
        <v>18</v>
      </c>
      <c r="H196" t="s">
        <v>25</v>
      </c>
      <c r="I196" t="s">
        <v>17</v>
      </c>
      <c r="J196" t="s">
        <v>22</v>
      </c>
    </row>
    <row r="197" spans="1:15">
      <c r="A197" t="s">
        <v>55</v>
      </c>
      <c r="D197">
        <v>1.1000000000000001</v>
      </c>
      <c r="E197" t="s">
        <v>51</v>
      </c>
      <c r="F197" t="s">
        <v>19</v>
      </c>
      <c r="G197" t="s">
        <v>20</v>
      </c>
      <c r="H197" t="s">
        <v>26</v>
      </c>
      <c r="I197" t="s">
        <v>17</v>
      </c>
      <c r="J197" t="s">
        <v>23</v>
      </c>
    </row>
    <row r="198" spans="1:15">
      <c r="A198" t="s">
        <v>55</v>
      </c>
      <c r="D198">
        <v>1</v>
      </c>
      <c r="E198" t="s">
        <v>51</v>
      </c>
      <c r="F198" t="s">
        <v>18</v>
      </c>
      <c r="G198" t="s">
        <v>20</v>
      </c>
      <c r="H198" t="s">
        <v>26</v>
      </c>
      <c r="I198" t="s">
        <v>19</v>
      </c>
      <c r="J198" t="s">
        <v>17</v>
      </c>
    </row>
    <row r="199" spans="1:15">
      <c r="A199" t="s">
        <v>55</v>
      </c>
      <c r="D199">
        <v>0.90000000000000102</v>
      </c>
      <c r="E199" t="s">
        <v>51</v>
      </c>
      <c r="F199" t="s">
        <v>25</v>
      </c>
      <c r="G199" t="s">
        <v>17</v>
      </c>
      <c r="H199" t="s">
        <v>26</v>
      </c>
      <c r="I199" t="s">
        <v>21</v>
      </c>
      <c r="J199" t="s">
        <v>20</v>
      </c>
    </row>
    <row r="200" spans="1:15">
      <c r="A200" t="s">
        <v>55</v>
      </c>
      <c r="D200">
        <v>0.80000000000000104</v>
      </c>
      <c r="E200" t="s">
        <v>51</v>
      </c>
      <c r="F200" t="s">
        <v>19</v>
      </c>
      <c r="G200" t="s">
        <v>21</v>
      </c>
      <c r="H200" t="s">
        <v>20</v>
      </c>
      <c r="I200" t="s">
        <v>23</v>
      </c>
      <c r="J200" t="s">
        <v>26</v>
      </c>
    </row>
    <row r="201" spans="1:15">
      <c r="A201" t="s">
        <v>55</v>
      </c>
      <c r="D201">
        <v>0.70000000000000095</v>
      </c>
      <c r="E201" t="s">
        <v>51</v>
      </c>
      <c r="F201" t="s">
        <v>18</v>
      </c>
      <c r="G201" t="s">
        <v>23</v>
      </c>
      <c r="H201" t="s">
        <v>17</v>
      </c>
      <c r="I201" t="s">
        <v>26</v>
      </c>
      <c r="J201" t="s">
        <v>22</v>
      </c>
    </row>
    <row r="202" spans="1:15">
      <c r="A202" t="s">
        <v>55</v>
      </c>
      <c r="D202">
        <v>0.6</v>
      </c>
      <c r="E202" t="s">
        <v>51</v>
      </c>
      <c r="F202" t="s">
        <v>23</v>
      </c>
      <c r="G202" t="s">
        <v>17</v>
      </c>
      <c r="H202" t="s">
        <v>19</v>
      </c>
      <c r="I202" t="s">
        <v>22</v>
      </c>
      <c r="J202" t="s">
        <v>25</v>
      </c>
    </row>
    <row r="203" spans="1:15">
      <c r="A203" t="s">
        <v>55</v>
      </c>
      <c r="D203">
        <v>0.5</v>
      </c>
      <c r="E203" t="s">
        <v>51</v>
      </c>
      <c r="F203" t="s">
        <v>19</v>
      </c>
      <c r="G203" t="s">
        <v>21</v>
      </c>
      <c r="H203" t="s">
        <v>23</v>
      </c>
      <c r="I203" t="s">
        <v>24</v>
      </c>
      <c r="J203" t="s">
        <v>25</v>
      </c>
    </row>
    <row r="204" spans="1:15">
      <c r="A204" t="s">
        <v>55</v>
      </c>
      <c r="D204">
        <v>0.4</v>
      </c>
      <c r="E204" t="s">
        <v>51</v>
      </c>
      <c r="F204" t="s">
        <v>26</v>
      </c>
      <c r="G204" t="s">
        <v>19</v>
      </c>
      <c r="H204" t="s">
        <v>20</v>
      </c>
      <c r="I204" t="s">
        <v>24</v>
      </c>
      <c r="J204" t="s">
        <v>25</v>
      </c>
    </row>
    <row r="205" spans="1:15">
      <c r="A205" t="s">
        <v>55</v>
      </c>
      <c r="D205">
        <v>0.3</v>
      </c>
      <c r="E205" t="s">
        <v>51</v>
      </c>
      <c r="F205" t="s">
        <v>25</v>
      </c>
      <c r="G205" t="s">
        <v>22</v>
      </c>
      <c r="H205" t="s">
        <v>20</v>
      </c>
      <c r="I205" t="s">
        <v>18</v>
      </c>
      <c r="J205" t="s">
        <v>24</v>
      </c>
    </row>
    <row r="206" spans="1:15">
      <c r="A206" t="s">
        <v>55</v>
      </c>
      <c r="D206">
        <v>0.2</v>
      </c>
      <c r="E206" t="s">
        <v>51</v>
      </c>
      <c r="F206" t="s">
        <v>25</v>
      </c>
      <c r="G206" t="s">
        <v>18</v>
      </c>
      <c r="H206" t="s">
        <v>23</v>
      </c>
      <c r="I206" t="s">
        <v>21</v>
      </c>
      <c r="J206" t="s">
        <v>20</v>
      </c>
    </row>
    <row r="207" spans="1:15">
      <c r="A207" t="s">
        <v>55</v>
      </c>
      <c r="D207">
        <v>9.9999999999999895E-2</v>
      </c>
      <c r="E207" t="s">
        <v>51</v>
      </c>
      <c r="F207" t="s">
        <v>20</v>
      </c>
      <c r="G207" t="s">
        <v>25</v>
      </c>
      <c r="H207" t="s">
        <v>19</v>
      </c>
      <c r="I207" t="s">
        <v>17</v>
      </c>
      <c r="J207" t="s">
        <v>23</v>
      </c>
    </row>
    <row r="208" spans="1:15">
      <c r="A208" t="s">
        <v>55</v>
      </c>
      <c r="D208">
        <v>0</v>
      </c>
      <c r="E208" t="s">
        <v>51</v>
      </c>
      <c r="F208" t="s">
        <v>18</v>
      </c>
      <c r="G208" t="s">
        <v>24</v>
      </c>
      <c r="H208" t="s">
        <v>22</v>
      </c>
      <c r="I208" t="s">
        <v>23</v>
      </c>
      <c r="J208" t="s">
        <v>19</v>
      </c>
    </row>
    <row r="209" spans="1:15">
      <c r="A209" t="s">
        <v>55</v>
      </c>
      <c r="D209">
        <v>-0.1</v>
      </c>
      <c r="E209" t="s">
        <v>51</v>
      </c>
      <c r="F209" t="s">
        <v>18</v>
      </c>
      <c r="G209" t="s">
        <v>24</v>
      </c>
      <c r="H209" t="s">
        <v>17</v>
      </c>
      <c r="I209" t="s">
        <v>26</v>
      </c>
      <c r="J209" t="s">
        <v>20</v>
      </c>
    </row>
    <row r="210" spans="1:15">
      <c r="A210" t="s">
        <v>55</v>
      </c>
      <c r="D210">
        <v>-0.2</v>
      </c>
      <c r="E210" t="s">
        <v>51</v>
      </c>
      <c r="F210" t="s">
        <v>17</v>
      </c>
      <c r="G210" t="s">
        <v>23</v>
      </c>
      <c r="H210" t="s">
        <v>26</v>
      </c>
      <c r="I210" t="s">
        <v>25</v>
      </c>
      <c r="J210" t="s">
        <v>18</v>
      </c>
    </row>
    <row r="211" spans="1:15">
      <c r="A211" t="s">
        <v>55</v>
      </c>
      <c r="D211">
        <v>-0.3</v>
      </c>
      <c r="E211" t="s">
        <v>51</v>
      </c>
      <c r="F211" t="s">
        <v>20</v>
      </c>
      <c r="G211" t="s">
        <v>26</v>
      </c>
      <c r="H211" t="s">
        <v>22</v>
      </c>
      <c r="I211" t="s">
        <v>25</v>
      </c>
      <c r="J211" t="s">
        <v>21</v>
      </c>
    </row>
    <row r="212" spans="1:15">
      <c r="A212" t="s">
        <v>56</v>
      </c>
      <c r="D212">
        <v>1.7</v>
      </c>
      <c r="E212" t="s">
        <v>51</v>
      </c>
      <c r="F212" t="s">
        <v>22</v>
      </c>
      <c r="G212" t="s">
        <v>20</v>
      </c>
      <c r="H212" t="s">
        <v>19</v>
      </c>
      <c r="I212" t="s">
        <v>23</v>
      </c>
      <c r="J212" t="s">
        <v>18</v>
      </c>
      <c r="K212" t="s">
        <v>22</v>
      </c>
      <c r="L212" t="s">
        <v>20</v>
      </c>
      <c r="N212" t="s">
        <v>23</v>
      </c>
      <c r="O212" t="s">
        <v>18</v>
      </c>
    </row>
    <row r="213" spans="1:15">
      <c r="A213" t="s">
        <v>56</v>
      </c>
      <c r="D213">
        <v>1.6</v>
      </c>
      <c r="E213" t="s">
        <v>51</v>
      </c>
      <c r="F213" t="s">
        <v>18</v>
      </c>
      <c r="G213" t="s">
        <v>17</v>
      </c>
      <c r="H213" t="s">
        <v>19</v>
      </c>
      <c r="I213" t="s">
        <v>21</v>
      </c>
      <c r="J213" t="s">
        <v>26</v>
      </c>
      <c r="K213" t="s">
        <v>18</v>
      </c>
    </row>
    <row r="214" spans="1:15">
      <c r="A214" t="s">
        <v>56</v>
      </c>
      <c r="D214">
        <v>1.5</v>
      </c>
      <c r="E214" t="s">
        <v>51</v>
      </c>
      <c r="F214" t="s">
        <v>17</v>
      </c>
      <c r="G214" t="s">
        <v>23</v>
      </c>
      <c r="H214" t="s">
        <v>24</v>
      </c>
      <c r="I214" t="s">
        <v>20</v>
      </c>
      <c r="J214" t="s">
        <v>19</v>
      </c>
      <c r="K214" t="s">
        <v>17</v>
      </c>
    </row>
    <row r="215" spans="1:15">
      <c r="A215" t="s">
        <v>56</v>
      </c>
      <c r="D215">
        <v>1.4</v>
      </c>
      <c r="E215" t="s">
        <v>51</v>
      </c>
      <c r="F215" t="s">
        <v>23</v>
      </c>
      <c r="G215" t="s">
        <v>25</v>
      </c>
      <c r="H215" t="s">
        <v>19</v>
      </c>
      <c r="I215" t="s">
        <v>17</v>
      </c>
      <c r="J215" t="s">
        <v>20</v>
      </c>
    </row>
    <row r="216" spans="1:15">
      <c r="A216" t="s">
        <v>56</v>
      </c>
      <c r="D216">
        <v>1.3</v>
      </c>
      <c r="E216" t="s">
        <v>51</v>
      </c>
      <c r="F216" t="s">
        <v>24</v>
      </c>
      <c r="G216" t="s">
        <v>26</v>
      </c>
      <c r="H216" t="s">
        <v>23</v>
      </c>
      <c r="I216" t="s">
        <v>21</v>
      </c>
      <c r="J216" t="s">
        <v>20</v>
      </c>
    </row>
    <row r="217" spans="1:15">
      <c r="A217" t="s">
        <v>56</v>
      </c>
      <c r="D217">
        <v>1.2</v>
      </c>
      <c r="E217" t="s">
        <v>51</v>
      </c>
      <c r="F217" t="s">
        <v>19</v>
      </c>
      <c r="G217" t="s">
        <v>26</v>
      </c>
      <c r="H217" t="s">
        <v>23</v>
      </c>
      <c r="I217" t="s">
        <v>22</v>
      </c>
      <c r="J217" t="s">
        <v>18</v>
      </c>
    </row>
    <row r="218" spans="1:15">
      <c r="A218" t="s">
        <v>56</v>
      </c>
      <c r="D218">
        <v>1.1000000000000001</v>
      </c>
      <c r="E218" t="s">
        <v>51</v>
      </c>
      <c r="F218" t="s">
        <v>20</v>
      </c>
      <c r="G218" t="s">
        <v>18</v>
      </c>
      <c r="H218" t="s">
        <v>22</v>
      </c>
      <c r="I218" t="s">
        <v>19</v>
      </c>
      <c r="J218" t="s">
        <v>24</v>
      </c>
    </row>
    <row r="219" spans="1:15">
      <c r="A219" t="s">
        <v>56</v>
      </c>
      <c r="D219">
        <v>1</v>
      </c>
      <c r="E219" t="s">
        <v>51</v>
      </c>
      <c r="F219" t="s">
        <v>21</v>
      </c>
      <c r="G219" t="s">
        <v>20</v>
      </c>
      <c r="H219" t="s">
        <v>18</v>
      </c>
      <c r="I219" t="s">
        <v>25</v>
      </c>
      <c r="J219" t="s">
        <v>24</v>
      </c>
    </row>
    <row r="220" spans="1:15">
      <c r="A220" t="s">
        <v>56</v>
      </c>
      <c r="D220">
        <v>0.90000000000000102</v>
      </c>
      <c r="E220" t="s">
        <v>51</v>
      </c>
      <c r="F220" t="s">
        <v>17</v>
      </c>
      <c r="G220" t="s">
        <v>20</v>
      </c>
      <c r="H220" t="s">
        <v>24</v>
      </c>
      <c r="I220" t="s">
        <v>19</v>
      </c>
      <c r="J220" t="s">
        <v>26</v>
      </c>
    </row>
    <row r="221" spans="1:15">
      <c r="A221" t="s">
        <v>56</v>
      </c>
      <c r="D221">
        <v>0.80000000000000104</v>
      </c>
      <c r="E221" t="s">
        <v>51</v>
      </c>
      <c r="F221" t="s">
        <v>22</v>
      </c>
      <c r="G221" t="s">
        <v>23</v>
      </c>
      <c r="H221" t="s">
        <v>18</v>
      </c>
      <c r="I221" t="s">
        <v>24</v>
      </c>
      <c r="J221" t="s">
        <v>19</v>
      </c>
    </row>
    <row r="222" spans="1:15">
      <c r="A222" t="s">
        <v>56</v>
      </c>
      <c r="D222">
        <v>0.70000000000000095</v>
      </c>
      <c r="E222" t="s">
        <v>51</v>
      </c>
      <c r="F222" t="s">
        <v>25</v>
      </c>
      <c r="G222" t="s">
        <v>21</v>
      </c>
      <c r="H222" t="s">
        <v>22</v>
      </c>
      <c r="I222" t="s">
        <v>17</v>
      </c>
      <c r="J222" t="s">
        <v>26</v>
      </c>
    </row>
    <row r="223" spans="1:15">
      <c r="A223" t="s">
        <v>56</v>
      </c>
      <c r="D223">
        <v>0.6</v>
      </c>
      <c r="E223" t="s">
        <v>51</v>
      </c>
      <c r="F223" t="s">
        <v>17</v>
      </c>
      <c r="G223" t="s">
        <v>18</v>
      </c>
      <c r="H223" t="s">
        <v>23</v>
      </c>
      <c r="I223" t="s">
        <v>26</v>
      </c>
      <c r="J223" t="s">
        <v>20</v>
      </c>
    </row>
    <row r="224" spans="1:15">
      <c r="A224" t="s">
        <v>56</v>
      </c>
      <c r="D224">
        <v>0.5</v>
      </c>
      <c r="E224" t="s">
        <v>51</v>
      </c>
      <c r="F224" t="s">
        <v>19</v>
      </c>
      <c r="G224" t="s">
        <v>25</v>
      </c>
      <c r="H224" t="s">
        <v>20</v>
      </c>
      <c r="I224" t="s">
        <v>17</v>
      </c>
      <c r="J224" t="s">
        <v>26</v>
      </c>
    </row>
    <row r="225" spans="1:15">
      <c r="A225" t="s">
        <v>56</v>
      </c>
      <c r="D225">
        <v>0.4</v>
      </c>
      <c r="E225" t="s">
        <v>51</v>
      </c>
      <c r="F225" t="s">
        <v>19</v>
      </c>
      <c r="G225" t="s">
        <v>24</v>
      </c>
      <c r="H225" t="s">
        <v>25</v>
      </c>
      <c r="I225" t="s">
        <v>21</v>
      </c>
      <c r="J225" t="s">
        <v>26</v>
      </c>
    </row>
    <row r="226" spans="1:15">
      <c r="A226" t="s">
        <v>56</v>
      </c>
      <c r="D226">
        <v>0.3</v>
      </c>
      <c r="E226" t="s">
        <v>51</v>
      </c>
      <c r="F226" t="s">
        <v>21</v>
      </c>
      <c r="G226" t="s">
        <v>20</v>
      </c>
      <c r="H226" t="s">
        <v>17</v>
      </c>
      <c r="I226" t="s">
        <v>18</v>
      </c>
      <c r="J226" t="s">
        <v>25</v>
      </c>
    </row>
    <row r="227" spans="1:15">
      <c r="A227" t="s">
        <v>56</v>
      </c>
      <c r="D227">
        <v>0.2</v>
      </c>
      <c r="E227" t="s">
        <v>51</v>
      </c>
      <c r="F227" t="s">
        <v>17</v>
      </c>
      <c r="G227" t="s">
        <v>22</v>
      </c>
      <c r="H227" t="s">
        <v>21</v>
      </c>
      <c r="I227" t="s">
        <v>20</v>
      </c>
      <c r="J227" t="s">
        <v>19</v>
      </c>
    </row>
    <row r="228" spans="1:15">
      <c r="A228" t="s">
        <v>56</v>
      </c>
      <c r="D228">
        <v>9.9999999999999895E-2</v>
      </c>
      <c r="E228" t="s">
        <v>51</v>
      </c>
      <c r="F228" t="s">
        <v>19</v>
      </c>
      <c r="G228" t="s">
        <v>24</v>
      </c>
      <c r="H228" t="s">
        <v>21</v>
      </c>
      <c r="I228" t="s">
        <v>18</v>
      </c>
      <c r="J228" t="s">
        <v>20</v>
      </c>
    </row>
    <row r="229" spans="1:15">
      <c r="A229" t="s">
        <v>56</v>
      </c>
      <c r="D229">
        <v>0</v>
      </c>
      <c r="E229" t="s">
        <v>51</v>
      </c>
      <c r="F229" t="s">
        <v>26</v>
      </c>
      <c r="G229" t="s">
        <v>18</v>
      </c>
      <c r="H229" t="s">
        <v>22</v>
      </c>
      <c r="I229" t="s">
        <v>24</v>
      </c>
      <c r="J229" t="s">
        <v>19</v>
      </c>
    </row>
    <row r="230" spans="1:15">
      <c r="A230" t="s">
        <v>56</v>
      </c>
      <c r="D230">
        <v>-0.1</v>
      </c>
      <c r="E230" t="s">
        <v>51</v>
      </c>
      <c r="F230" t="s">
        <v>20</v>
      </c>
      <c r="G230" t="s">
        <v>23</v>
      </c>
      <c r="H230" t="s">
        <v>26</v>
      </c>
      <c r="I230" t="s">
        <v>24</v>
      </c>
      <c r="J230" t="s">
        <v>17</v>
      </c>
    </row>
    <row r="231" spans="1:15">
      <c r="A231" t="s">
        <v>56</v>
      </c>
      <c r="D231">
        <v>-0.2</v>
      </c>
      <c r="E231" t="s">
        <v>51</v>
      </c>
      <c r="F231" t="s">
        <v>20</v>
      </c>
      <c r="G231" t="s">
        <v>21</v>
      </c>
      <c r="H231" t="s">
        <v>26</v>
      </c>
      <c r="I231" t="s">
        <v>19</v>
      </c>
      <c r="J231" t="s">
        <v>18</v>
      </c>
    </row>
    <row r="232" spans="1:15">
      <c r="A232" t="s">
        <v>56</v>
      </c>
      <c r="D232">
        <v>-0.3</v>
      </c>
      <c r="E232" t="s">
        <v>51</v>
      </c>
      <c r="F232" t="s">
        <v>25</v>
      </c>
      <c r="G232" t="s">
        <v>22</v>
      </c>
      <c r="H232" t="s">
        <v>19</v>
      </c>
      <c r="I232" t="s">
        <v>21</v>
      </c>
      <c r="J232" t="s">
        <v>23</v>
      </c>
    </row>
    <row r="233" spans="1:15">
      <c r="A233" t="s">
        <v>57</v>
      </c>
      <c r="D233">
        <v>1.7</v>
      </c>
      <c r="E233" t="s">
        <v>51</v>
      </c>
      <c r="F233" t="s">
        <v>24</v>
      </c>
      <c r="G233" t="s">
        <v>25</v>
      </c>
      <c r="H233" t="s">
        <v>19</v>
      </c>
      <c r="I233" t="s">
        <v>22</v>
      </c>
      <c r="J233" t="s">
        <v>23</v>
      </c>
      <c r="K233" t="s">
        <v>24</v>
      </c>
      <c r="L233" t="s">
        <v>25</v>
      </c>
      <c r="M233" t="s">
        <v>19</v>
      </c>
      <c r="N233" t="s">
        <v>22</v>
      </c>
      <c r="O233" t="s">
        <v>23</v>
      </c>
    </row>
    <row r="234" spans="1:15">
      <c r="A234" t="s">
        <v>57</v>
      </c>
      <c r="D234">
        <v>1.6</v>
      </c>
      <c r="E234" t="s">
        <v>51</v>
      </c>
      <c r="F234" t="s">
        <v>21</v>
      </c>
      <c r="G234" t="s">
        <v>22</v>
      </c>
      <c r="H234" t="s">
        <v>26</v>
      </c>
      <c r="I234" t="s">
        <v>23</v>
      </c>
      <c r="J234" t="s">
        <v>24</v>
      </c>
      <c r="K234" t="s">
        <v>21</v>
      </c>
      <c r="L234" t="s">
        <v>22</v>
      </c>
      <c r="M234" t="s">
        <v>26</v>
      </c>
      <c r="N234" t="s">
        <v>23</v>
      </c>
      <c r="O234" t="s">
        <v>24</v>
      </c>
    </row>
    <row r="235" spans="1:15">
      <c r="A235" t="s">
        <v>57</v>
      </c>
      <c r="D235">
        <v>1.5</v>
      </c>
      <c r="E235" t="s">
        <v>51</v>
      </c>
      <c r="F235" t="s">
        <v>21</v>
      </c>
      <c r="G235" t="s">
        <v>20</v>
      </c>
      <c r="H235" t="s">
        <v>23</v>
      </c>
      <c r="I235" t="s">
        <v>17</v>
      </c>
      <c r="J235" t="s">
        <v>24</v>
      </c>
      <c r="K235" t="s">
        <v>21</v>
      </c>
      <c r="L235" t="s">
        <v>20</v>
      </c>
      <c r="M235" t="s">
        <v>23</v>
      </c>
      <c r="N235" t="s">
        <v>17</v>
      </c>
      <c r="O235" t="s">
        <v>24</v>
      </c>
    </row>
    <row r="236" spans="1:15">
      <c r="A236" t="s">
        <v>57</v>
      </c>
      <c r="D236">
        <v>1.4</v>
      </c>
      <c r="E236" t="s">
        <v>51</v>
      </c>
      <c r="F236" t="s">
        <v>23</v>
      </c>
      <c r="G236" t="s">
        <v>24</v>
      </c>
      <c r="H236" t="s">
        <v>19</v>
      </c>
      <c r="I236" t="s">
        <v>26</v>
      </c>
      <c r="J236" t="s">
        <v>18</v>
      </c>
      <c r="K236" t="s">
        <v>23</v>
      </c>
      <c r="L236" t="s">
        <v>24</v>
      </c>
      <c r="M236" t="s">
        <v>19</v>
      </c>
      <c r="N236" t="s">
        <v>26</v>
      </c>
      <c r="O236" t="s">
        <v>18</v>
      </c>
    </row>
    <row r="237" spans="1:15">
      <c r="A237" t="s">
        <v>57</v>
      </c>
      <c r="D237">
        <v>1.3</v>
      </c>
      <c r="E237" t="s">
        <v>51</v>
      </c>
      <c r="F237" t="s">
        <v>25</v>
      </c>
      <c r="G237" t="s">
        <v>24</v>
      </c>
      <c r="H237" t="s">
        <v>17</v>
      </c>
      <c r="I237" t="s">
        <v>18</v>
      </c>
      <c r="J237" t="s">
        <v>21</v>
      </c>
      <c r="K237" t="s">
        <v>25</v>
      </c>
      <c r="L237" t="s">
        <v>24</v>
      </c>
      <c r="M237" t="s">
        <v>17</v>
      </c>
      <c r="N237" t="s">
        <v>18</v>
      </c>
      <c r="O237" t="s">
        <v>21</v>
      </c>
    </row>
    <row r="238" spans="1:15">
      <c r="A238" t="s">
        <v>57</v>
      </c>
      <c r="D238">
        <v>1.2</v>
      </c>
      <c r="E238" t="s">
        <v>51</v>
      </c>
      <c r="F238" t="s">
        <v>21</v>
      </c>
      <c r="G238" t="s">
        <v>20</v>
      </c>
      <c r="H238" t="s">
        <v>17</v>
      </c>
      <c r="I238" t="s">
        <v>23</v>
      </c>
      <c r="J238" t="s">
        <v>24</v>
      </c>
      <c r="K238" t="s">
        <v>21</v>
      </c>
      <c r="L238" t="s">
        <v>20</v>
      </c>
      <c r="M238" t="s">
        <v>17</v>
      </c>
      <c r="N238" t="s">
        <v>23</v>
      </c>
      <c r="O238" t="s">
        <v>24</v>
      </c>
    </row>
    <row r="239" spans="1:15">
      <c r="A239" t="s">
        <v>57</v>
      </c>
      <c r="D239">
        <v>1.1000000000000001</v>
      </c>
      <c r="E239" t="s">
        <v>51</v>
      </c>
      <c r="F239" t="s">
        <v>17</v>
      </c>
      <c r="G239" t="s">
        <v>18</v>
      </c>
      <c r="H239" t="s">
        <v>21</v>
      </c>
      <c r="I239" t="s">
        <v>19</v>
      </c>
      <c r="J239" t="s">
        <v>20</v>
      </c>
      <c r="K239" t="s">
        <v>17</v>
      </c>
      <c r="L239" t="s">
        <v>18</v>
      </c>
      <c r="M239" t="s">
        <v>21</v>
      </c>
      <c r="N239" t="s">
        <v>19</v>
      </c>
      <c r="O239" t="s">
        <v>20</v>
      </c>
    </row>
    <row r="240" spans="1:15">
      <c r="A240" t="s">
        <v>57</v>
      </c>
      <c r="D240">
        <v>1</v>
      </c>
      <c r="E240" t="s">
        <v>51</v>
      </c>
      <c r="F240" t="s">
        <v>26</v>
      </c>
      <c r="G240" t="s">
        <v>20</v>
      </c>
      <c r="H240" t="s">
        <v>22</v>
      </c>
      <c r="I240" t="s">
        <v>17</v>
      </c>
      <c r="J240" t="s">
        <v>25</v>
      </c>
      <c r="K240" t="s">
        <v>26</v>
      </c>
      <c r="L240" t="s">
        <v>20</v>
      </c>
      <c r="M240" t="s">
        <v>22</v>
      </c>
      <c r="N240" t="s">
        <v>17</v>
      </c>
      <c r="O240" t="s">
        <v>25</v>
      </c>
    </row>
    <row r="241" spans="1:15">
      <c r="A241" t="s">
        <v>57</v>
      </c>
      <c r="D241">
        <v>0.90000000000000102</v>
      </c>
      <c r="E241" t="s">
        <v>51</v>
      </c>
      <c r="F241" t="s">
        <v>22</v>
      </c>
      <c r="G241" t="s">
        <v>26</v>
      </c>
      <c r="H241" t="s">
        <v>19</v>
      </c>
      <c r="I241" t="s">
        <v>23</v>
      </c>
      <c r="J241" t="s">
        <v>18</v>
      </c>
      <c r="K241" t="s">
        <v>22</v>
      </c>
      <c r="L241" t="s">
        <v>26</v>
      </c>
      <c r="M241" t="s">
        <v>19</v>
      </c>
      <c r="N241" t="s">
        <v>23</v>
      </c>
      <c r="O241" t="s">
        <v>18</v>
      </c>
    </row>
    <row r="242" spans="1:15">
      <c r="A242" t="s">
        <v>57</v>
      </c>
      <c r="D242">
        <v>0.80000000000000104</v>
      </c>
      <c r="E242" t="s">
        <v>51</v>
      </c>
      <c r="F242" t="s">
        <v>22</v>
      </c>
      <c r="G242" t="s">
        <v>26</v>
      </c>
      <c r="H242" t="s">
        <v>18</v>
      </c>
      <c r="I242" t="s">
        <v>24</v>
      </c>
      <c r="J242" t="s">
        <v>17</v>
      </c>
      <c r="K242" t="s">
        <v>22</v>
      </c>
      <c r="L242" t="s">
        <v>26</v>
      </c>
      <c r="M242" t="s">
        <v>18</v>
      </c>
      <c r="N242" t="s">
        <v>24</v>
      </c>
      <c r="O242" t="s">
        <v>17</v>
      </c>
    </row>
    <row r="243" spans="1:15">
      <c r="A243" t="s">
        <v>57</v>
      </c>
      <c r="D243">
        <v>0.70000000000000095</v>
      </c>
      <c r="E243" t="s">
        <v>51</v>
      </c>
      <c r="F243" t="s">
        <v>26</v>
      </c>
      <c r="G243" t="s">
        <v>17</v>
      </c>
      <c r="H243" t="s">
        <v>21</v>
      </c>
      <c r="I243" t="s">
        <v>22</v>
      </c>
      <c r="J243" t="s">
        <v>24</v>
      </c>
      <c r="K243" t="s">
        <v>26</v>
      </c>
      <c r="L243" t="s">
        <v>17</v>
      </c>
      <c r="M243" t="s">
        <v>21</v>
      </c>
      <c r="N243" t="s">
        <v>22</v>
      </c>
      <c r="O243" t="s">
        <v>24</v>
      </c>
    </row>
    <row r="244" spans="1:15">
      <c r="A244" t="s">
        <v>57</v>
      </c>
      <c r="D244">
        <v>0.6</v>
      </c>
      <c r="E244" t="s">
        <v>51</v>
      </c>
      <c r="F244" t="s">
        <v>22</v>
      </c>
      <c r="G244" t="s">
        <v>17</v>
      </c>
      <c r="H244" t="s">
        <v>18</v>
      </c>
      <c r="I244" t="s">
        <v>24</v>
      </c>
      <c r="J244" t="s">
        <v>21</v>
      </c>
      <c r="K244" t="s">
        <v>22</v>
      </c>
      <c r="L244" t="s">
        <v>17</v>
      </c>
      <c r="M244" t="s">
        <v>18</v>
      </c>
      <c r="N244" t="s">
        <v>24</v>
      </c>
      <c r="O244" t="s">
        <v>21</v>
      </c>
    </row>
    <row r="245" spans="1:15">
      <c r="A245" t="s">
        <v>57</v>
      </c>
      <c r="D245">
        <v>0.5</v>
      </c>
      <c r="E245" t="s">
        <v>51</v>
      </c>
      <c r="F245" t="s">
        <v>24</v>
      </c>
      <c r="G245" t="s">
        <v>20</v>
      </c>
      <c r="H245" t="s">
        <v>23</v>
      </c>
      <c r="I245" t="s">
        <v>25</v>
      </c>
      <c r="J245" t="s">
        <v>21</v>
      </c>
      <c r="K245" t="s">
        <v>24</v>
      </c>
      <c r="L245" t="s">
        <v>20</v>
      </c>
      <c r="M245" t="s">
        <v>23</v>
      </c>
      <c r="N245" t="s">
        <v>25</v>
      </c>
      <c r="O245" t="s">
        <v>21</v>
      </c>
    </row>
    <row r="246" spans="1:15">
      <c r="A246" t="s">
        <v>57</v>
      </c>
      <c r="D246">
        <v>0.4</v>
      </c>
      <c r="E246" t="s">
        <v>51</v>
      </c>
      <c r="F246" t="s">
        <v>19</v>
      </c>
      <c r="G246" t="s">
        <v>22</v>
      </c>
      <c r="H246" t="s">
        <v>24</v>
      </c>
      <c r="I246" t="s">
        <v>17</v>
      </c>
      <c r="J246" t="s">
        <v>26</v>
      </c>
      <c r="K246" t="s">
        <v>19</v>
      </c>
      <c r="L246" t="s">
        <v>22</v>
      </c>
      <c r="M246" t="s">
        <v>24</v>
      </c>
      <c r="N246" t="s">
        <v>17</v>
      </c>
    </row>
    <row r="247" spans="1:15">
      <c r="A247" t="s">
        <v>57</v>
      </c>
      <c r="D247">
        <v>0.3</v>
      </c>
      <c r="E247" t="s">
        <v>51</v>
      </c>
      <c r="F247" t="s">
        <v>20</v>
      </c>
      <c r="G247" t="s">
        <v>21</v>
      </c>
      <c r="H247" t="s">
        <v>17</v>
      </c>
      <c r="I247" t="s">
        <v>26</v>
      </c>
      <c r="J247" t="s">
        <v>24</v>
      </c>
      <c r="M247" t="s">
        <v>17</v>
      </c>
      <c r="N247" t="s">
        <v>26</v>
      </c>
      <c r="O247" t="s">
        <v>24</v>
      </c>
    </row>
    <row r="248" spans="1:15">
      <c r="A248" t="s">
        <v>57</v>
      </c>
      <c r="D248">
        <v>0.2</v>
      </c>
      <c r="E248" t="s">
        <v>51</v>
      </c>
      <c r="F248" t="s">
        <v>18</v>
      </c>
      <c r="G248" t="s">
        <v>20</v>
      </c>
      <c r="H248" t="s">
        <v>22</v>
      </c>
      <c r="I248" t="s">
        <v>25</v>
      </c>
      <c r="J248" t="s">
        <v>19</v>
      </c>
    </row>
    <row r="249" spans="1:15">
      <c r="A249" t="s">
        <v>57</v>
      </c>
      <c r="D249">
        <v>9.9999999999999895E-2</v>
      </c>
      <c r="E249" t="s">
        <v>51</v>
      </c>
      <c r="F249" t="s">
        <v>19</v>
      </c>
      <c r="G249" t="s">
        <v>23</v>
      </c>
      <c r="H249" t="s">
        <v>26</v>
      </c>
      <c r="I249" t="s">
        <v>17</v>
      </c>
      <c r="J249" t="s">
        <v>18</v>
      </c>
    </row>
    <row r="250" spans="1:15">
      <c r="A250" t="s">
        <v>57</v>
      </c>
      <c r="D250">
        <v>0</v>
      </c>
      <c r="E250" t="s">
        <v>51</v>
      </c>
      <c r="F250" t="s">
        <v>19</v>
      </c>
      <c r="G250" t="s">
        <v>23</v>
      </c>
      <c r="H250" t="s">
        <v>21</v>
      </c>
      <c r="I250" t="s">
        <v>22</v>
      </c>
      <c r="J250" t="s">
        <v>26</v>
      </c>
    </row>
    <row r="251" spans="1:15">
      <c r="A251" t="s">
        <v>57</v>
      </c>
      <c r="D251">
        <v>-0.1</v>
      </c>
      <c r="E251" t="s">
        <v>51</v>
      </c>
      <c r="F251" t="s">
        <v>18</v>
      </c>
      <c r="G251" t="s">
        <v>22</v>
      </c>
      <c r="H251" t="s">
        <v>19</v>
      </c>
      <c r="I251" t="s">
        <v>24</v>
      </c>
      <c r="J251" t="s">
        <v>25</v>
      </c>
    </row>
    <row r="252" spans="1:15">
      <c r="A252" t="s">
        <v>57</v>
      </c>
      <c r="D252">
        <v>-0.2</v>
      </c>
      <c r="E252" t="s">
        <v>51</v>
      </c>
      <c r="F252" t="s">
        <v>21</v>
      </c>
      <c r="G252" t="s">
        <v>20</v>
      </c>
      <c r="H252" t="s">
        <v>23</v>
      </c>
      <c r="I252" t="s">
        <v>19</v>
      </c>
      <c r="J252" t="s">
        <v>17</v>
      </c>
    </row>
    <row r="253" spans="1:15">
      <c r="A253" t="s">
        <v>57</v>
      </c>
      <c r="D253">
        <v>-0.3</v>
      </c>
      <c r="E253" t="s">
        <v>51</v>
      </c>
      <c r="F253" t="s">
        <v>22</v>
      </c>
      <c r="G253" t="s">
        <v>17</v>
      </c>
      <c r="H253" t="s">
        <v>25</v>
      </c>
      <c r="I253" t="s">
        <v>18</v>
      </c>
      <c r="J253" t="s">
        <v>19</v>
      </c>
    </row>
    <row r="254" spans="1:15">
      <c r="A254" t="s">
        <v>58</v>
      </c>
      <c r="D254">
        <v>1.7</v>
      </c>
      <c r="E254" t="s">
        <v>51</v>
      </c>
      <c r="F254" t="s">
        <v>21</v>
      </c>
      <c r="G254" t="s">
        <v>24</v>
      </c>
      <c r="H254" t="s">
        <v>22</v>
      </c>
      <c r="I254" t="s">
        <v>17</v>
      </c>
      <c r="J254" t="s">
        <v>25</v>
      </c>
      <c r="K254" t="s">
        <v>21</v>
      </c>
      <c r="L254" t="s">
        <v>24</v>
      </c>
      <c r="M254" t="s">
        <v>22</v>
      </c>
      <c r="N254" t="s">
        <v>17</v>
      </c>
      <c r="O254" t="s">
        <v>25</v>
      </c>
    </row>
    <row r="255" spans="1:15">
      <c r="A255" t="s">
        <v>58</v>
      </c>
      <c r="D255">
        <v>1.6</v>
      </c>
      <c r="E255" t="s">
        <v>51</v>
      </c>
      <c r="F255" t="s">
        <v>21</v>
      </c>
      <c r="G255" t="s">
        <v>19</v>
      </c>
      <c r="H255" t="s">
        <v>18</v>
      </c>
      <c r="I255" t="s">
        <v>17</v>
      </c>
      <c r="J255" t="s">
        <v>22</v>
      </c>
      <c r="K255" t="s">
        <v>21</v>
      </c>
      <c r="L255" t="s">
        <v>19</v>
      </c>
      <c r="M255" t="s">
        <v>18</v>
      </c>
      <c r="N255" t="s">
        <v>17</v>
      </c>
      <c r="O255" t="s">
        <v>22</v>
      </c>
    </row>
    <row r="256" spans="1:15">
      <c r="A256" t="s">
        <v>58</v>
      </c>
      <c r="D256">
        <v>1.5</v>
      </c>
      <c r="E256" t="s">
        <v>51</v>
      </c>
      <c r="F256" t="s">
        <v>26</v>
      </c>
      <c r="G256" t="s">
        <v>17</v>
      </c>
      <c r="H256" t="s">
        <v>19</v>
      </c>
      <c r="I256" t="s">
        <v>21</v>
      </c>
      <c r="J256" t="s">
        <v>20</v>
      </c>
      <c r="K256" t="s">
        <v>26</v>
      </c>
      <c r="L256" t="s">
        <v>17</v>
      </c>
      <c r="M256" t="s">
        <v>19</v>
      </c>
      <c r="N256" t="s">
        <v>21</v>
      </c>
      <c r="O256" t="s">
        <v>20</v>
      </c>
    </row>
    <row r="257" spans="1:15">
      <c r="A257" t="s">
        <v>58</v>
      </c>
      <c r="D257">
        <v>1.4</v>
      </c>
      <c r="E257" t="s">
        <v>51</v>
      </c>
      <c r="F257" t="s">
        <v>22</v>
      </c>
      <c r="G257" t="s">
        <v>26</v>
      </c>
      <c r="H257" t="s">
        <v>20</v>
      </c>
      <c r="I257" t="s">
        <v>24</v>
      </c>
      <c r="J257" t="s">
        <v>18</v>
      </c>
      <c r="K257" t="s">
        <v>22</v>
      </c>
      <c r="L257" t="s">
        <v>26</v>
      </c>
      <c r="M257" t="s">
        <v>20</v>
      </c>
      <c r="N257" t="s">
        <v>24</v>
      </c>
      <c r="O257" t="s">
        <v>18</v>
      </c>
    </row>
    <row r="258" spans="1:15">
      <c r="A258" t="s">
        <v>58</v>
      </c>
      <c r="D258">
        <v>1.3</v>
      </c>
      <c r="E258" t="s">
        <v>51</v>
      </c>
      <c r="F258" t="s">
        <v>21</v>
      </c>
      <c r="G258" t="s">
        <v>19</v>
      </c>
      <c r="H258" t="s">
        <v>20</v>
      </c>
      <c r="I258" t="s">
        <v>23</v>
      </c>
      <c r="J258" t="s">
        <v>26</v>
      </c>
      <c r="K258" t="s">
        <v>21</v>
      </c>
      <c r="L258" t="s">
        <v>19</v>
      </c>
      <c r="M258" t="s">
        <v>20</v>
      </c>
      <c r="N258" t="s">
        <v>23</v>
      </c>
      <c r="O258" t="s">
        <v>26</v>
      </c>
    </row>
    <row r="259" spans="1:15">
      <c r="A259" t="s">
        <v>58</v>
      </c>
      <c r="D259">
        <v>1.2</v>
      </c>
      <c r="E259" t="s">
        <v>51</v>
      </c>
      <c r="F259" t="s">
        <v>17</v>
      </c>
      <c r="G259" t="s">
        <v>21</v>
      </c>
      <c r="H259" t="s">
        <v>18</v>
      </c>
      <c r="I259" t="s">
        <v>20</v>
      </c>
      <c r="J259" t="s">
        <v>22</v>
      </c>
      <c r="K259" t="s">
        <v>17</v>
      </c>
      <c r="L259" t="s">
        <v>21</v>
      </c>
      <c r="M259" t="s">
        <v>18</v>
      </c>
      <c r="N259" t="s">
        <v>20</v>
      </c>
      <c r="O259" t="s">
        <v>22</v>
      </c>
    </row>
    <row r="260" spans="1:15">
      <c r="A260" t="s">
        <v>58</v>
      </c>
      <c r="D260">
        <v>1.1000000000000001</v>
      </c>
      <c r="E260" t="s">
        <v>51</v>
      </c>
      <c r="F260" t="s">
        <v>21</v>
      </c>
      <c r="G260" t="s">
        <v>22</v>
      </c>
      <c r="H260" t="s">
        <v>26</v>
      </c>
      <c r="I260" t="s">
        <v>18</v>
      </c>
      <c r="J260" t="s">
        <v>17</v>
      </c>
      <c r="K260" t="s">
        <v>21</v>
      </c>
      <c r="L260" t="s">
        <v>22</v>
      </c>
      <c r="M260" t="s">
        <v>26</v>
      </c>
      <c r="N260" t="s">
        <v>18</v>
      </c>
      <c r="O260" t="s">
        <v>17</v>
      </c>
    </row>
    <row r="261" spans="1:15">
      <c r="A261" t="s">
        <v>58</v>
      </c>
      <c r="D261">
        <v>1</v>
      </c>
      <c r="E261" t="s">
        <v>51</v>
      </c>
      <c r="F261" t="s">
        <v>26</v>
      </c>
      <c r="G261" t="s">
        <v>18</v>
      </c>
      <c r="H261" t="s">
        <v>19</v>
      </c>
      <c r="I261" t="s">
        <v>22</v>
      </c>
      <c r="J261" t="s">
        <v>17</v>
      </c>
      <c r="K261" t="s">
        <v>26</v>
      </c>
      <c r="L261" t="s">
        <v>18</v>
      </c>
      <c r="M261" t="s">
        <v>19</v>
      </c>
      <c r="N261" t="s">
        <v>22</v>
      </c>
      <c r="O261" t="s">
        <v>17</v>
      </c>
    </row>
    <row r="262" spans="1:15">
      <c r="A262" t="s">
        <v>58</v>
      </c>
      <c r="D262">
        <v>0.90000000000000102</v>
      </c>
      <c r="E262" t="s">
        <v>51</v>
      </c>
      <c r="F262" t="s">
        <v>21</v>
      </c>
      <c r="G262" t="s">
        <v>23</v>
      </c>
      <c r="H262" t="s">
        <v>18</v>
      </c>
      <c r="I262" t="s">
        <v>24</v>
      </c>
      <c r="J262" t="s">
        <v>22</v>
      </c>
      <c r="K262" t="s">
        <v>21</v>
      </c>
      <c r="L262" t="s">
        <v>23</v>
      </c>
      <c r="N262" t="s">
        <v>24</v>
      </c>
    </row>
    <row r="263" spans="1:15">
      <c r="A263" t="s">
        <v>58</v>
      </c>
      <c r="D263">
        <v>0.80000000000000104</v>
      </c>
      <c r="E263" t="s">
        <v>51</v>
      </c>
      <c r="F263" t="s">
        <v>22</v>
      </c>
      <c r="G263" t="s">
        <v>20</v>
      </c>
      <c r="H263" t="s">
        <v>18</v>
      </c>
      <c r="I263" t="s">
        <v>23</v>
      </c>
      <c r="J263" t="s">
        <v>19</v>
      </c>
      <c r="L263" t="s">
        <v>20</v>
      </c>
      <c r="M263" t="s">
        <v>18</v>
      </c>
    </row>
    <row r="264" spans="1:15">
      <c r="A264" t="s">
        <v>58</v>
      </c>
      <c r="D264">
        <v>0.70000000000000095</v>
      </c>
      <c r="E264" t="s">
        <v>51</v>
      </c>
      <c r="F264" t="s">
        <v>25</v>
      </c>
      <c r="G264" t="s">
        <v>18</v>
      </c>
      <c r="H264" t="s">
        <v>24</v>
      </c>
      <c r="I264" t="s">
        <v>20</v>
      </c>
      <c r="J264" t="s">
        <v>22</v>
      </c>
      <c r="L264" t="s">
        <v>18</v>
      </c>
    </row>
    <row r="265" spans="1:15">
      <c r="A265" t="s">
        <v>58</v>
      </c>
      <c r="D265">
        <v>0.6</v>
      </c>
      <c r="E265" t="s">
        <v>51</v>
      </c>
      <c r="F265" t="s">
        <v>20</v>
      </c>
      <c r="G265" t="s">
        <v>25</v>
      </c>
      <c r="H265" t="s">
        <v>19</v>
      </c>
      <c r="I265" t="s">
        <v>18</v>
      </c>
      <c r="J265" t="s">
        <v>17</v>
      </c>
    </row>
    <row r="266" spans="1:15">
      <c r="A266" t="s">
        <v>58</v>
      </c>
      <c r="D266">
        <v>0.5</v>
      </c>
      <c r="E266" t="s">
        <v>51</v>
      </c>
      <c r="F266" t="s">
        <v>26</v>
      </c>
      <c r="G266" t="s">
        <v>18</v>
      </c>
      <c r="H266" t="s">
        <v>19</v>
      </c>
      <c r="I266" t="s">
        <v>23</v>
      </c>
      <c r="J266" t="s">
        <v>20</v>
      </c>
    </row>
    <row r="267" spans="1:15">
      <c r="A267" t="s">
        <v>58</v>
      </c>
      <c r="D267">
        <v>0.4</v>
      </c>
      <c r="E267" t="s">
        <v>51</v>
      </c>
      <c r="F267" t="s">
        <v>22</v>
      </c>
      <c r="G267" t="s">
        <v>20</v>
      </c>
      <c r="H267" t="s">
        <v>18</v>
      </c>
      <c r="I267" t="s">
        <v>26</v>
      </c>
      <c r="J267" t="s">
        <v>21</v>
      </c>
    </row>
    <row r="268" spans="1:15">
      <c r="A268" t="s">
        <v>58</v>
      </c>
      <c r="D268">
        <v>0.3</v>
      </c>
      <c r="E268" t="s">
        <v>51</v>
      </c>
      <c r="F268" t="s">
        <v>23</v>
      </c>
      <c r="G268" t="s">
        <v>20</v>
      </c>
      <c r="H268" t="s">
        <v>21</v>
      </c>
      <c r="I268" t="s">
        <v>18</v>
      </c>
      <c r="J268" t="s">
        <v>25</v>
      </c>
    </row>
    <row r="269" spans="1:15">
      <c r="A269" t="s">
        <v>58</v>
      </c>
      <c r="D269">
        <v>0.2</v>
      </c>
      <c r="E269" t="s">
        <v>51</v>
      </c>
      <c r="F269" t="s">
        <v>19</v>
      </c>
      <c r="G269" t="s">
        <v>22</v>
      </c>
      <c r="H269" t="s">
        <v>24</v>
      </c>
      <c r="I269" t="s">
        <v>25</v>
      </c>
      <c r="J269" t="s">
        <v>26</v>
      </c>
    </row>
    <row r="270" spans="1:15">
      <c r="A270" t="s">
        <v>58</v>
      </c>
      <c r="D270">
        <v>9.9999999999999895E-2</v>
      </c>
      <c r="E270" t="s">
        <v>51</v>
      </c>
      <c r="F270" t="s">
        <v>24</v>
      </c>
      <c r="G270" t="s">
        <v>17</v>
      </c>
      <c r="H270" t="s">
        <v>26</v>
      </c>
      <c r="I270" t="s">
        <v>18</v>
      </c>
      <c r="J270" t="s">
        <v>19</v>
      </c>
    </row>
    <row r="271" spans="1:15">
      <c r="A271" t="s">
        <v>58</v>
      </c>
      <c r="D271">
        <v>0</v>
      </c>
      <c r="E271" t="s">
        <v>51</v>
      </c>
      <c r="F271" t="s">
        <v>21</v>
      </c>
      <c r="G271" t="s">
        <v>19</v>
      </c>
      <c r="H271" t="s">
        <v>24</v>
      </c>
      <c r="I271" t="s">
        <v>22</v>
      </c>
      <c r="J271" t="s">
        <v>20</v>
      </c>
    </row>
    <row r="272" spans="1:15">
      <c r="A272" t="s">
        <v>58</v>
      </c>
      <c r="D272">
        <v>-0.1</v>
      </c>
      <c r="E272" t="s">
        <v>51</v>
      </c>
      <c r="F272" t="s">
        <v>18</v>
      </c>
      <c r="G272" t="s">
        <v>25</v>
      </c>
      <c r="H272" t="s">
        <v>23</v>
      </c>
      <c r="I272" t="s">
        <v>21</v>
      </c>
      <c r="J272" t="s">
        <v>26</v>
      </c>
    </row>
    <row r="273" spans="1:15">
      <c r="A273" t="s">
        <v>58</v>
      </c>
      <c r="D273">
        <v>-0.2</v>
      </c>
      <c r="E273" t="s">
        <v>51</v>
      </c>
      <c r="F273" t="s">
        <v>25</v>
      </c>
      <c r="G273" t="s">
        <v>24</v>
      </c>
      <c r="H273" t="s">
        <v>19</v>
      </c>
      <c r="I273" t="s">
        <v>18</v>
      </c>
      <c r="J273" t="s">
        <v>23</v>
      </c>
    </row>
    <row r="274" spans="1:15">
      <c r="A274" t="s">
        <v>58</v>
      </c>
      <c r="D274">
        <v>-0.3</v>
      </c>
      <c r="E274" t="s">
        <v>51</v>
      </c>
      <c r="F274" t="s">
        <v>20</v>
      </c>
      <c r="G274" t="s">
        <v>24</v>
      </c>
      <c r="H274" t="s">
        <v>19</v>
      </c>
      <c r="I274" t="s">
        <v>18</v>
      </c>
      <c r="J274" t="s">
        <v>17</v>
      </c>
    </row>
    <row r="275" spans="1:15">
      <c r="A275" t="s">
        <v>59</v>
      </c>
      <c r="D275">
        <v>1.7</v>
      </c>
      <c r="E275" t="s">
        <v>51</v>
      </c>
      <c r="F275" t="s">
        <v>19</v>
      </c>
      <c r="G275" t="s">
        <v>18</v>
      </c>
      <c r="H275" t="s">
        <v>26</v>
      </c>
      <c r="I275" t="s">
        <v>21</v>
      </c>
      <c r="J275" t="s">
        <v>22</v>
      </c>
      <c r="K275" t="s">
        <v>19</v>
      </c>
      <c r="L275" t="s">
        <v>18</v>
      </c>
      <c r="M275" t="s">
        <v>26</v>
      </c>
      <c r="N275" t="s">
        <v>21</v>
      </c>
      <c r="O275" t="s">
        <v>22</v>
      </c>
    </row>
    <row r="276" spans="1:15">
      <c r="A276" t="s">
        <v>59</v>
      </c>
      <c r="D276">
        <v>1.6</v>
      </c>
      <c r="E276" t="s">
        <v>51</v>
      </c>
      <c r="F276" t="s">
        <v>25</v>
      </c>
      <c r="G276" t="s">
        <v>23</v>
      </c>
      <c r="H276" t="s">
        <v>24</v>
      </c>
      <c r="I276" t="s">
        <v>17</v>
      </c>
      <c r="J276" t="s">
        <v>22</v>
      </c>
      <c r="K276" t="s">
        <v>25</v>
      </c>
      <c r="L276" t="s">
        <v>23</v>
      </c>
      <c r="M276" t="s">
        <v>24</v>
      </c>
      <c r="N276" t="s">
        <v>17</v>
      </c>
      <c r="O276" t="s">
        <v>22</v>
      </c>
    </row>
    <row r="277" spans="1:15">
      <c r="A277" t="s">
        <v>59</v>
      </c>
      <c r="D277">
        <v>1.5</v>
      </c>
      <c r="E277" t="s">
        <v>51</v>
      </c>
      <c r="F277" t="s">
        <v>23</v>
      </c>
      <c r="G277" t="s">
        <v>20</v>
      </c>
      <c r="H277" t="s">
        <v>25</v>
      </c>
      <c r="I277" t="s">
        <v>18</v>
      </c>
      <c r="J277" t="s">
        <v>17</v>
      </c>
      <c r="K277" t="s">
        <v>23</v>
      </c>
      <c r="L277" t="s">
        <v>20</v>
      </c>
      <c r="M277" t="s">
        <v>25</v>
      </c>
      <c r="N277" t="s">
        <v>18</v>
      </c>
      <c r="O277" t="s">
        <v>17</v>
      </c>
    </row>
    <row r="278" spans="1:15">
      <c r="A278" t="s">
        <v>59</v>
      </c>
      <c r="D278">
        <v>1.4</v>
      </c>
      <c r="E278" t="s">
        <v>51</v>
      </c>
      <c r="F278" t="s">
        <v>21</v>
      </c>
      <c r="G278" t="s">
        <v>18</v>
      </c>
      <c r="H278" t="s">
        <v>25</v>
      </c>
      <c r="I278" t="s">
        <v>17</v>
      </c>
      <c r="J278" t="s">
        <v>19</v>
      </c>
      <c r="K278" t="s">
        <v>21</v>
      </c>
      <c r="L278" t="s">
        <v>18</v>
      </c>
      <c r="M278" t="s">
        <v>25</v>
      </c>
      <c r="N278" t="s">
        <v>17</v>
      </c>
      <c r="O278" t="s">
        <v>19</v>
      </c>
    </row>
    <row r="279" spans="1:15">
      <c r="A279" t="s">
        <v>59</v>
      </c>
      <c r="D279">
        <v>1.3</v>
      </c>
      <c r="E279" t="s">
        <v>51</v>
      </c>
      <c r="F279" t="s">
        <v>19</v>
      </c>
      <c r="G279" t="s">
        <v>18</v>
      </c>
      <c r="H279" t="s">
        <v>20</v>
      </c>
      <c r="I279" t="s">
        <v>17</v>
      </c>
      <c r="J279" t="s">
        <v>23</v>
      </c>
      <c r="K279" t="s">
        <v>19</v>
      </c>
      <c r="L279" t="s">
        <v>18</v>
      </c>
      <c r="M279" t="s">
        <v>20</v>
      </c>
      <c r="O279" t="s">
        <v>23</v>
      </c>
    </row>
    <row r="280" spans="1:15">
      <c r="A280" t="s">
        <v>59</v>
      </c>
      <c r="D280">
        <v>1.2</v>
      </c>
      <c r="E280" t="s">
        <v>51</v>
      </c>
      <c r="F280" t="s">
        <v>17</v>
      </c>
      <c r="G280" t="s">
        <v>24</v>
      </c>
      <c r="H280" t="s">
        <v>20</v>
      </c>
      <c r="I280" t="s">
        <v>26</v>
      </c>
      <c r="J280" t="s">
        <v>18</v>
      </c>
      <c r="K280" t="s">
        <v>17</v>
      </c>
      <c r="L280" t="s">
        <v>24</v>
      </c>
      <c r="M280" t="s">
        <v>20</v>
      </c>
      <c r="N280" t="s">
        <v>26</v>
      </c>
      <c r="O280" t="s">
        <v>18</v>
      </c>
    </row>
    <row r="281" spans="1:15">
      <c r="A281" t="s">
        <v>59</v>
      </c>
      <c r="D281">
        <v>1.1000000000000001</v>
      </c>
      <c r="E281" t="s">
        <v>51</v>
      </c>
      <c r="F281" t="s">
        <v>22</v>
      </c>
      <c r="G281" t="s">
        <v>26</v>
      </c>
      <c r="H281" t="s">
        <v>21</v>
      </c>
      <c r="I281" t="s">
        <v>25</v>
      </c>
      <c r="J281" t="s">
        <v>24</v>
      </c>
      <c r="L281" t="s">
        <v>26</v>
      </c>
      <c r="N281" t="s">
        <v>25</v>
      </c>
      <c r="O281" t="s">
        <v>24</v>
      </c>
    </row>
    <row r="282" spans="1:15">
      <c r="A282" t="s">
        <v>59</v>
      </c>
      <c r="D282">
        <v>1</v>
      </c>
      <c r="E282" t="s">
        <v>51</v>
      </c>
      <c r="F282" t="s">
        <v>25</v>
      </c>
      <c r="G282" t="s">
        <v>24</v>
      </c>
      <c r="H282" t="s">
        <v>18</v>
      </c>
      <c r="I282" t="s">
        <v>21</v>
      </c>
      <c r="J282" t="s">
        <v>19</v>
      </c>
    </row>
    <row r="283" spans="1:15">
      <c r="A283" t="s">
        <v>59</v>
      </c>
      <c r="D283">
        <v>0.90000000000000102</v>
      </c>
      <c r="E283" t="s">
        <v>51</v>
      </c>
      <c r="F283" t="s">
        <v>26</v>
      </c>
      <c r="G283" t="s">
        <v>24</v>
      </c>
      <c r="H283" t="s">
        <v>22</v>
      </c>
      <c r="I283" t="s">
        <v>25</v>
      </c>
      <c r="J283" t="s">
        <v>17</v>
      </c>
    </row>
    <row r="284" spans="1:15">
      <c r="A284" t="s">
        <v>59</v>
      </c>
      <c r="D284">
        <v>0.80000000000000104</v>
      </c>
      <c r="E284" t="s">
        <v>51</v>
      </c>
      <c r="F284" t="s">
        <v>26</v>
      </c>
      <c r="G284" t="s">
        <v>18</v>
      </c>
      <c r="H284" t="s">
        <v>17</v>
      </c>
      <c r="I284" t="s">
        <v>19</v>
      </c>
      <c r="J284" t="s">
        <v>24</v>
      </c>
    </row>
    <row r="285" spans="1:15">
      <c r="A285" t="s">
        <v>59</v>
      </c>
      <c r="D285">
        <v>0.70000000000000095</v>
      </c>
      <c r="E285" t="s">
        <v>51</v>
      </c>
      <c r="F285" t="s">
        <v>19</v>
      </c>
      <c r="G285" t="s">
        <v>17</v>
      </c>
      <c r="H285" t="s">
        <v>21</v>
      </c>
      <c r="I285" t="s">
        <v>20</v>
      </c>
      <c r="J285" t="s">
        <v>25</v>
      </c>
    </row>
    <row r="286" spans="1:15">
      <c r="A286" t="s">
        <v>59</v>
      </c>
      <c r="D286">
        <v>0.6</v>
      </c>
      <c r="E286" t="s">
        <v>51</v>
      </c>
      <c r="F286" t="s">
        <v>19</v>
      </c>
      <c r="G286" t="s">
        <v>22</v>
      </c>
      <c r="H286" t="s">
        <v>25</v>
      </c>
      <c r="I286" t="s">
        <v>21</v>
      </c>
      <c r="J286" t="s">
        <v>26</v>
      </c>
    </row>
    <row r="287" spans="1:15">
      <c r="A287" t="s">
        <v>59</v>
      </c>
      <c r="D287">
        <v>0.5</v>
      </c>
      <c r="E287" t="s">
        <v>51</v>
      </c>
      <c r="F287" t="s">
        <v>17</v>
      </c>
      <c r="G287" t="s">
        <v>18</v>
      </c>
      <c r="H287" t="s">
        <v>26</v>
      </c>
      <c r="I287" t="s">
        <v>21</v>
      </c>
      <c r="J287" t="s">
        <v>24</v>
      </c>
    </row>
    <row r="288" spans="1:15">
      <c r="A288" t="s">
        <v>59</v>
      </c>
      <c r="D288">
        <v>0.4</v>
      </c>
      <c r="E288" t="s">
        <v>51</v>
      </c>
      <c r="F288" t="s">
        <v>25</v>
      </c>
      <c r="G288" t="s">
        <v>22</v>
      </c>
      <c r="H288" t="s">
        <v>24</v>
      </c>
      <c r="I288" t="s">
        <v>19</v>
      </c>
      <c r="J288" t="s">
        <v>18</v>
      </c>
    </row>
    <row r="289" spans="1:15">
      <c r="A289" t="s">
        <v>59</v>
      </c>
      <c r="D289">
        <v>0.3</v>
      </c>
      <c r="E289" t="s">
        <v>51</v>
      </c>
      <c r="F289" t="s">
        <v>18</v>
      </c>
      <c r="G289" t="s">
        <v>19</v>
      </c>
      <c r="H289" t="s">
        <v>25</v>
      </c>
      <c r="I289" t="s">
        <v>20</v>
      </c>
      <c r="J289" t="s">
        <v>26</v>
      </c>
    </row>
    <row r="290" spans="1:15">
      <c r="A290" t="s">
        <v>59</v>
      </c>
      <c r="D290">
        <v>0.2</v>
      </c>
      <c r="E290" t="s">
        <v>51</v>
      </c>
      <c r="F290" t="s">
        <v>19</v>
      </c>
      <c r="G290" t="s">
        <v>18</v>
      </c>
      <c r="H290" t="s">
        <v>21</v>
      </c>
      <c r="I290" t="s">
        <v>20</v>
      </c>
      <c r="J290" t="s">
        <v>25</v>
      </c>
    </row>
    <row r="291" spans="1:15">
      <c r="A291" t="s">
        <v>59</v>
      </c>
      <c r="D291">
        <v>9.9999999999999895E-2</v>
      </c>
      <c r="E291" t="s">
        <v>51</v>
      </c>
      <c r="F291" t="s">
        <v>23</v>
      </c>
      <c r="G291" t="s">
        <v>21</v>
      </c>
      <c r="H291" t="s">
        <v>26</v>
      </c>
      <c r="I291" t="s">
        <v>22</v>
      </c>
      <c r="J291" t="s">
        <v>24</v>
      </c>
    </row>
    <row r="292" spans="1:15">
      <c r="A292" t="s">
        <v>59</v>
      </c>
      <c r="D292">
        <v>0</v>
      </c>
      <c r="E292" t="s">
        <v>51</v>
      </c>
      <c r="F292" t="s">
        <v>20</v>
      </c>
      <c r="G292" t="s">
        <v>23</v>
      </c>
      <c r="H292" t="s">
        <v>21</v>
      </c>
      <c r="I292" t="s">
        <v>18</v>
      </c>
      <c r="J292" t="s">
        <v>17</v>
      </c>
    </row>
    <row r="293" spans="1:15">
      <c r="A293" t="s">
        <v>59</v>
      </c>
      <c r="D293">
        <v>-0.1</v>
      </c>
      <c r="E293" t="s">
        <v>51</v>
      </c>
      <c r="F293" t="s">
        <v>24</v>
      </c>
      <c r="G293" t="s">
        <v>19</v>
      </c>
      <c r="H293" t="s">
        <v>23</v>
      </c>
      <c r="I293" t="s">
        <v>20</v>
      </c>
      <c r="J293" t="s">
        <v>21</v>
      </c>
    </row>
    <row r="294" spans="1:15">
      <c r="A294" t="s">
        <v>59</v>
      </c>
      <c r="D294">
        <v>-0.2</v>
      </c>
      <c r="E294" t="s">
        <v>51</v>
      </c>
      <c r="F294" t="s">
        <v>26</v>
      </c>
      <c r="G294" t="s">
        <v>24</v>
      </c>
      <c r="H294" t="s">
        <v>22</v>
      </c>
      <c r="I294" t="s">
        <v>20</v>
      </c>
      <c r="J294" t="s">
        <v>19</v>
      </c>
    </row>
    <row r="295" spans="1:15">
      <c r="A295" t="s">
        <v>59</v>
      </c>
      <c r="D295">
        <v>-0.3</v>
      </c>
      <c r="E295" t="s">
        <v>51</v>
      </c>
      <c r="F295" t="s">
        <v>25</v>
      </c>
      <c r="G295" t="s">
        <v>22</v>
      </c>
      <c r="H295" t="s">
        <v>17</v>
      </c>
      <c r="I295" t="s">
        <v>19</v>
      </c>
      <c r="J295" t="s">
        <v>24</v>
      </c>
    </row>
    <row r="296" spans="1:15">
      <c r="A296" t="s">
        <v>60</v>
      </c>
      <c r="D296">
        <v>1.7</v>
      </c>
      <c r="E296" t="s">
        <v>51</v>
      </c>
      <c r="F296" t="s">
        <v>21</v>
      </c>
      <c r="G296" t="s">
        <v>18</v>
      </c>
      <c r="H296" t="s">
        <v>22</v>
      </c>
      <c r="I296" t="s">
        <v>26</v>
      </c>
      <c r="J296" t="s">
        <v>25</v>
      </c>
      <c r="K296" t="s">
        <v>21</v>
      </c>
      <c r="L296" t="s">
        <v>18</v>
      </c>
      <c r="M296" t="s">
        <v>22</v>
      </c>
      <c r="N296" t="s">
        <v>26</v>
      </c>
      <c r="O296" t="s">
        <v>25</v>
      </c>
    </row>
    <row r="297" spans="1:15">
      <c r="A297" t="s">
        <v>60</v>
      </c>
      <c r="D297">
        <v>1.6</v>
      </c>
      <c r="E297" t="s">
        <v>51</v>
      </c>
      <c r="F297" t="s">
        <v>22</v>
      </c>
      <c r="G297" t="s">
        <v>21</v>
      </c>
      <c r="H297" t="s">
        <v>19</v>
      </c>
      <c r="I297" t="s">
        <v>24</v>
      </c>
      <c r="J297" t="s">
        <v>25</v>
      </c>
      <c r="K297" t="s">
        <v>22</v>
      </c>
      <c r="M297" t="s">
        <v>19</v>
      </c>
      <c r="N297" t="s">
        <v>24</v>
      </c>
      <c r="O297" t="s">
        <v>25</v>
      </c>
    </row>
    <row r="298" spans="1:15">
      <c r="A298" t="s">
        <v>60</v>
      </c>
      <c r="D298">
        <v>1.5</v>
      </c>
      <c r="E298" t="s">
        <v>51</v>
      </c>
      <c r="F298" t="s">
        <v>23</v>
      </c>
      <c r="G298" t="s">
        <v>25</v>
      </c>
      <c r="H298" t="s">
        <v>24</v>
      </c>
      <c r="I298" t="s">
        <v>26</v>
      </c>
      <c r="J298" t="s">
        <v>20</v>
      </c>
    </row>
    <row r="299" spans="1:15">
      <c r="A299" t="s">
        <v>60</v>
      </c>
      <c r="D299">
        <v>1.4</v>
      </c>
      <c r="E299" t="s">
        <v>51</v>
      </c>
      <c r="F299" t="s">
        <v>21</v>
      </c>
      <c r="G299" t="s">
        <v>24</v>
      </c>
      <c r="H299" t="s">
        <v>23</v>
      </c>
      <c r="I299" t="s">
        <v>26</v>
      </c>
      <c r="J299" t="s">
        <v>19</v>
      </c>
    </row>
    <row r="300" spans="1:15">
      <c r="A300" t="s">
        <v>60</v>
      </c>
      <c r="D300">
        <v>1.3</v>
      </c>
      <c r="E300" t="s">
        <v>51</v>
      </c>
      <c r="F300" t="s">
        <v>20</v>
      </c>
      <c r="G300" t="s">
        <v>22</v>
      </c>
      <c r="H300" t="s">
        <v>17</v>
      </c>
      <c r="I300" t="s">
        <v>18</v>
      </c>
      <c r="J300" t="s">
        <v>25</v>
      </c>
    </row>
    <row r="301" spans="1:15">
      <c r="A301" t="s">
        <v>60</v>
      </c>
      <c r="D301">
        <v>1.2</v>
      </c>
      <c r="E301" t="s">
        <v>51</v>
      </c>
      <c r="F301" t="s">
        <v>22</v>
      </c>
      <c r="G301" t="s">
        <v>19</v>
      </c>
      <c r="H301" t="s">
        <v>18</v>
      </c>
      <c r="I301" t="s">
        <v>25</v>
      </c>
      <c r="J301" t="s">
        <v>23</v>
      </c>
    </row>
    <row r="302" spans="1:15">
      <c r="A302" t="s">
        <v>60</v>
      </c>
      <c r="D302">
        <v>1.1000000000000001</v>
      </c>
      <c r="E302" t="s">
        <v>51</v>
      </c>
      <c r="F302" t="s">
        <v>19</v>
      </c>
      <c r="G302" t="s">
        <v>26</v>
      </c>
      <c r="H302" t="s">
        <v>23</v>
      </c>
      <c r="I302" t="s">
        <v>21</v>
      </c>
      <c r="J302" t="s">
        <v>18</v>
      </c>
    </row>
    <row r="303" spans="1:15">
      <c r="A303" t="s">
        <v>60</v>
      </c>
      <c r="D303">
        <v>1</v>
      </c>
      <c r="E303" t="s">
        <v>51</v>
      </c>
      <c r="F303" t="s">
        <v>24</v>
      </c>
      <c r="G303" t="s">
        <v>17</v>
      </c>
      <c r="H303" t="s">
        <v>22</v>
      </c>
      <c r="I303" t="s">
        <v>21</v>
      </c>
      <c r="J303" t="s">
        <v>18</v>
      </c>
    </row>
    <row r="304" spans="1:15">
      <c r="A304" t="s">
        <v>60</v>
      </c>
      <c r="D304">
        <v>0.90000000000000102</v>
      </c>
      <c r="E304" t="s">
        <v>51</v>
      </c>
      <c r="F304" t="s">
        <v>24</v>
      </c>
      <c r="G304" t="s">
        <v>23</v>
      </c>
      <c r="H304" t="s">
        <v>19</v>
      </c>
      <c r="I304" t="s">
        <v>17</v>
      </c>
      <c r="J304" t="s">
        <v>20</v>
      </c>
    </row>
    <row r="305" spans="1:10">
      <c r="A305" t="s">
        <v>60</v>
      </c>
      <c r="D305">
        <v>0.80000000000000104</v>
      </c>
      <c r="E305" t="s">
        <v>51</v>
      </c>
      <c r="F305" t="s">
        <v>25</v>
      </c>
      <c r="G305" t="s">
        <v>21</v>
      </c>
      <c r="H305" t="s">
        <v>22</v>
      </c>
      <c r="I305" t="s">
        <v>18</v>
      </c>
      <c r="J305" t="s">
        <v>19</v>
      </c>
    </row>
    <row r="306" spans="1:10">
      <c r="A306" t="s">
        <v>60</v>
      </c>
      <c r="D306">
        <v>0.70000000000000095</v>
      </c>
      <c r="E306" t="s">
        <v>51</v>
      </c>
      <c r="F306" t="s">
        <v>25</v>
      </c>
      <c r="G306" t="s">
        <v>17</v>
      </c>
      <c r="H306" t="s">
        <v>18</v>
      </c>
      <c r="I306" t="s">
        <v>20</v>
      </c>
      <c r="J306" t="s">
        <v>26</v>
      </c>
    </row>
    <row r="307" spans="1:10">
      <c r="A307" t="s">
        <v>60</v>
      </c>
      <c r="D307">
        <v>0.6</v>
      </c>
      <c r="E307" t="s">
        <v>51</v>
      </c>
      <c r="F307" t="s">
        <v>24</v>
      </c>
      <c r="G307" t="s">
        <v>26</v>
      </c>
      <c r="H307" t="s">
        <v>22</v>
      </c>
      <c r="I307" t="s">
        <v>17</v>
      </c>
      <c r="J307" t="s">
        <v>21</v>
      </c>
    </row>
    <row r="308" spans="1:10">
      <c r="A308" t="s">
        <v>60</v>
      </c>
      <c r="D308">
        <v>0.5</v>
      </c>
      <c r="E308" t="s">
        <v>51</v>
      </c>
      <c r="F308" t="s">
        <v>18</v>
      </c>
      <c r="G308" t="s">
        <v>25</v>
      </c>
      <c r="H308" t="s">
        <v>21</v>
      </c>
      <c r="I308" t="s">
        <v>20</v>
      </c>
      <c r="J308" t="s">
        <v>23</v>
      </c>
    </row>
    <row r="309" spans="1:10">
      <c r="A309" t="s">
        <v>60</v>
      </c>
      <c r="D309">
        <v>0.4</v>
      </c>
      <c r="E309" t="s">
        <v>51</v>
      </c>
      <c r="F309" t="s">
        <v>19</v>
      </c>
      <c r="G309" t="s">
        <v>24</v>
      </c>
      <c r="H309" t="s">
        <v>25</v>
      </c>
      <c r="I309" t="s">
        <v>20</v>
      </c>
      <c r="J309" t="s">
        <v>26</v>
      </c>
    </row>
    <row r="310" spans="1:10">
      <c r="A310" t="s">
        <v>60</v>
      </c>
      <c r="D310">
        <v>0.3</v>
      </c>
      <c r="E310" t="s">
        <v>51</v>
      </c>
      <c r="F310" t="s">
        <v>26</v>
      </c>
      <c r="G310" t="s">
        <v>25</v>
      </c>
      <c r="H310" t="s">
        <v>20</v>
      </c>
      <c r="I310" t="s">
        <v>24</v>
      </c>
      <c r="J310" t="s">
        <v>18</v>
      </c>
    </row>
    <row r="311" spans="1:10">
      <c r="A311" t="s">
        <v>60</v>
      </c>
      <c r="D311">
        <v>0.2</v>
      </c>
      <c r="E311" t="s">
        <v>51</v>
      </c>
      <c r="F311" t="s">
        <v>20</v>
      </c>
      <c r="G311" t="s">
        <v>22</v>
      </c>
      <c r="H311" t="s">
        <v>17</v>
      </c>
      <c r="I311" t="s">
        <v>21</v>
      </c>
      <c r="J311" t="s">
        <v>26</v>
      </c>
    </row>
    <row r="312" spans="1:10">
      <c r="A312" t="s">
        <v>60</v>
      </c>
      <c r="D312">
        <v>9.9999999999999895E-2</v>
      </c>
      <c r="E312" t="s">
        <v>51</v>
      </c>
      <c r="F312" t="s">
        <v>18</v>
      </c>
      <c r="G312" t="s">
        <v>20</v>
      </c>
      <c r="H312" t="s">
        <v>17</v>
      </c>
      <c r="I312" t="s">
        <v>23</v>
      </c>
      <c r="J312" t="s">
        <v>26</v>
      </c>
    </row>
    <row r="313" spans="1:10">
      <c r="A313" t="s">
        <v>60</v>
      </c>
      <c r="D313">
        <v>0</v>
      </c>
      <c r="E313" t="s">
        <v>51</v>
      </c>
      <c r="F313" t="s">
        <v>22</v>
      </c>
      <c r="G313" t="s">
        <v>17</v>
      </c>
      <c r="H313" t="s">
        <v>21</v>
      </c>
      <c r="I313" t="s">
        <v>25</v>
      </c>
      <c r="J313" t="s">
        <v>24</v>
      </c>
    </row>
    <row r="314" spans="1:10">
      <c r="A314" t="s">
        <v>60</v>
      </c>
      <c r="D314">
        <v>-0.1</v>
      </c>
      <c r="E314" t="s">
        <v>51</v>
      </c>
      <c r="F314" t="s">
        <v>22</v>
      </c>
      <c r="G314" t="s">
        <v>23</v>
      </c>
      <c r="H314" t="s">
        <v>26</v>
      </c>
      <c r="I314" t="s">
        <v>21</v>
      </c>
      <c r="J314" t="s">
        <v>17</v>
      </c>
    </row>
    <row r="315" spans="1:10">
      <c r="A315" t="s">
        <v>60</v>
      </c>
      <c r="D315">
        <v>-0.2</v>
      </c>
      <c r="E315" t="s">
        <v>51</v>
      </c>
      <c r="F315" t="s">
        <v>25</v>
      </c>
      <c r="G315" t="s">
        <v>24</v>
      </c>
      <c r="H315" t="s">
        <v>21</v>
      </c>
      <c r="I315" t="s">
        <v>17</v>
      </c>
      <c r="J315" t="s">
        <v>19</v>
      </c>
    </row>
    <row r="316" spans="1:10">
      <c r="A316" t="s">
        <v>60</v>
      </c>
      <c r="D316">
        <v>-0.3</v>
      </c>
      <c r="E316" t="s">
        <v>51</v>
      </c>
      <c r="F316" t="s">
        <v>19</v>
      </c>
      <c r="G316" t="s">
        <v>23</v>
      </c>
      <c r="H316" t="s">
        <v>21</v>
      </c>
      <c r="I316" t="s">
        <v>17</v>
      </c>
      <c r="J316" t="s">
        <v>26</v>
      </c>
    </row>
    <row r="317" spans="1:10">
      <c r="A317" t="s">
        <v>61</v>
      </c>
      <c r="D317">
        <v>1.7</v>
      </c>
      <c r="E317" t="s">
        <v>51</v>
      </c>
      <c r="F317" t="s">
        <v>26</v>
      </c>
      <c r="G317" t="s">
        <v>21</v>
      </c>
      <c r="H317" t="s">
        <v>22</v>
      </c>
      <c r="I317" t="s">
        <v>17</v>
      </c>
      <c r="J317" t="s">
        <v>25</v>
      </c>
    </row>
    <row r="318" spans="1:10">
      <c r="A318" t="s">
        <v>61</v>
      </c>
      <c r="D318">
        <v>1.6</v>
      </c>
      <c r="E318" t="s">
        <v>51</v>
      </c>
      <c r="F318" t="s">
        <v>25</v>
      </c>
      <c r="G318" t="s">
        <v>18</v>
      </c>
      <c r="H318" t="s">
        <v>21</v>
      </c>
      <c r="I318" t="s">
        <v>26</v>
      </c>
      <c r="J318" t="s">
        <v>17</v>
      </c>
    </row>
    <row r="319" spans="1:10">
      <c r="A319" t="s">
        <v>61</v>
      </c>
      <c r="D319">
        <v>1.5</v>
      </c>
      <c r="E319" t="s">
        <v>51</v>
      </c>
      <c r="F319" t="s">
        <v>21</v>
      </c>
      <c r="G319" t="s">
        <v>20</v>
      </c>
      <c r="H319" t="s">
        <v>25</v>
      </c>
      <c r="I319" t="s">
        <v>24</v>
      </c>
      <c r="J319" t="s">
        <v>23</v>
      </c>
    </row>
    <row r="320" spans="1:10">
      <c r="A320" t="s">
        <v>61</v>
      </c>
      <c r="D320">
        <v>1.4</v>
      </c>
      <c r="E320" t="s">
        <v>51</v>
      </c>
      <c r="F320" t="s">
        <v>17</v>
      </c>
      <c r="G320" t="s">
        <v>22</v>
      </c>
      <c r="H320" t="s">
        <v>26</v>
      </c>
      <c r="I320" t="s">
        <v>20</v>
      </c>
      <c r="J320" t="s">
        <v>19</v>
      </c>
    </row>
    <row r="321" spans="1:10">
      <c r="A321" t="s">
        <v>61</v>
      </c>
      <c r="D321">
        <v>1.3</v>
      </c>
      <c r="E321" t="s">
        <v>51</v>
      </c>
      <c r="F321" t="s">
        <v>24</v>
      </c>
      <c r="G321" t="s">
        <v>18</v>
      </c>
      <c r="H321" t="s">
        <v>21</v>
      </c>
      <c r="I321" t="s">
        <v>20</v>
      </c>
      <c r="J321" t="s">
        <v>25</v>
      </c>
    </row>
    <row r="322" spans="1:10">
      <c r="A322" t="s">
        <v>61</v>
      </c>
      <c r="D322">
        <v>1.2</v>
      </c>
      <c r="E322" t="s">
        <v>51</v>
      </c>
      <c r="F322" t="s">
        <v>20</v>
      </c>
      <c r="G322" t="s">
        <v>17</v>
      </c>
      <c r="H322" t="s">
        <v>23</v>
      </c>
      <c r="I322" t="s">
        <v>19</v>
      </c>
      <c r="J322" t="s">
        <v>25</v>
      </c>
    </row>
    <row r="323" spans="1:10">
      <c r="A323" t="s">
        <v>61</v>
      </c>
      <c r="D323">
        <v>1.1000000000000001</v>
      </c>
      <c r="E323" t="s">
        <v>51</v>
      </c>
      <c r="F323" t="s">
        <v>20</v>
      </c>
      <c r="G323" t="s">
        <v>18</v>
      </c>
      <c r="H323" t="s">
        <v>24</v>
      </c>
      <c r="I323" t="s">
        <v>26</v>
      </c>
      <c r="J323" t="s">
        <v>19</v>
      </c>
    </row>
    <row r="324" spans="1:10">
      <c r="A324" t="s">
        <v>61</v>
      </c>
      <c r="D324">
        <v>1</v>
      </c>
      <c r="E324" t="s">
        <v>51</v>
      </c>
      <c r="F324" t="s">
        <v>17</v>
      </c>
      <c r="G324" t="s">
        <v>24</v>
      </c>
      <c r="H324" t="s">
        <v>21</v>
      </c>
      <c r="I324" t="s">
        <v>25</v>
      </c>
      <c r="J324" t="s">
        <v>26</v>
      </c>
    </row>
    <row r="325" spans="1:10">
      <c r="A325" t="s">
        <v>61</v>
      </c>
      <c r="D325">
        <v>0.90000000000000102</v>
      </c>
      <c r="E325" t="s">
        <v>51</v>
      </c>
      <c r="F325" t="s">
        <v>26</v>
      </c>
      <c r="G325" t="s">
        <v>22</v>
      </c>
      <c r="H325" t="s">
        <v>19</v>
      </c>
      <c r="I325" t="s">
        <v>20</v>
      </c>
      <c r="J325" t="s">
        <v>24</v>
      </c>
    </row>
    <row r="326" spans="1:10">
      <c r="A326" t="s">
        <v>61</v>
      </c>
      <c r="D326">
        <v>0.80000000000000104</v>
      </c>
      <c r="E326" t="s">
        <v>51</v>
      </c>
      <c r="F326" t="s">
        <v>25</v>
      </c>
      <c r="G326" t="s">
        <v>19</v>
      </c>
      <c r="H326" t="s">
        <v>20</v>
      </c>
      <c r="I326" t="s">
        <v>26</v>
      </c>
      <c r="J326" t="s">
        <v>24</v>
      </c>
    </row>
    <row r="327" spans="1:10">
      <c r="A327" t="s">
        <v>61</v>
      </c>
      <c r="D327">
        <v>0.70000000000000095</v>
      </c>
      <c r="E327" t="s">
        <v>51</v>
      </c>
      <c r="F327" t="s">
        <v>25</v>
      </c>
      <c r="G327" t="s">
        <v>26</v>
      </c>
      <c r="H327" t="s">
        <v>23</v>
      </c>
      <c r="I327" t="s">
        <v>17</v>
      </c>
      <c r="J327" t="s">
        <v>24</v>
      </c>
    </row>
    <row r="328" spans="1:10">
      <c r="A328" t="s">
        <v>61</v>
      </c>
      <c r="D328">
        <v>0.6</v>
      </c>
      <c r="E328" t="s">
        <v>51</v>
      </c>
      <c r="F328" t="s">
        <v>21</v>
      </c>
      <c r="G328" t="s">
        <v>25</v>
      </c>
      <c r="H328" t="s">
        <v>23</v>
      </c>
      <c r="I328" t="s">
        <v>19</v>
      </c>
      <c r="J328" t="s">
        <v>17</v>
      </c>
    </row>
    <row r="329" spans="1:10">
      <c r="A329" t="s">
        <v>61</v>
      </c>
      <c r="D329">
        <v>0.5</v>
      </c>
      <c r="E329" t="s">
        <v>51</v>
      </c>
      <c r="F329" t="s">
        <v>25</v>
      </c>
      <c r="G329" t="s">
        <v>19</v>
      </c>
      <c r="H329" t="s">
        <v>24</v>
      </c>
      <c r="I329" t="s">
        <v>21</v>
      </c>
      <c r="J329" t="s">
        <v>18</v>
      </c>
    </row>
    <row r="330" spans="1:10">
      <c r="A330" t="s">
        <v>61</v>
      </c>
      <c r="D330">
        <v>0.4</v>
      </c>
      <c r="E330" t="s">
        <v>51</v>
      </c>
      <c r="F330" t="s">
        <v>17</v>
      </c>
      <c r="G330" t="s">
        <v>19</v>
      </c>
      <c r="H330" t="s">
        <v>23</v>
      </c>
      <c r="I330" t="s">
        <v>24</v>
      </c>
      <c r="J330" t="s">
        <v>25</v>
      </c>
    </row>
    <row r="331" spans="1:10">
      <c r="A331" t="s">
        <v>61</v>
      </c>
      <c r="D331">
        <v>0.3</v>
      </c>
      <c r="E331" t="s">
        <v>51</v>
      </c>
      <c r="F331" t="s">
        <v>21</v>
      </c>
      <c r="G331" t="s">
        <v>18</v>
      </c>
      <c r="H331" t="s">
        <v>26</v>
      </c>
      <c r="I331" t="s">
        <v>19</v>
      </c>
      <c r="J331" t="s">
        <v>20</v>
      </c>
    </row>
    <row r="332" spans="1:10">
      <c r="A332" t="s">
        <v>61</v>
      </c>
      <c r="D332">
        <v>0.2</v>
      </c>
      <c r="E332" t="s">
        <v>51</v>
      </c>
      <c r="F332" t="s">
        <v>24</v>
      </c>
      <c r="G332" t="s">
        <v>23</v>
      </c>
      <c r="H332" t="s">
        <v>25</v>
      </c>
      <c r="I332" t="s">
        <v>22</v>
      </c>
      <c r="J332" t="s">
        <v>26</v>
      </c>
    </row>
    <row r="333" spans="1:10">
      <c r="A333" t="s">
        <v>61</v>
      </c>
      <c r="D333">
        <v>9.9999999999999895E-2</v>
      </c>
      <c r="E333" t="s">
        <v>51</v>
      </c>
      <c r="F333" t="s">
        <v>18</v>
      </c>
      <c r="G333" t="s">
        <v>26</v>
      </c>
      <c r="H333" t="s">
        <v>17</v>
      </c>
      <c r="I333" t="s">
        <v>20</v>
      </c>
      <c r="J333" t="s">
        <v>25</v>
      </c>
    </row>
    <row r="334" spans="1:10">
      <c r="A334" t="s">
        <v>61</v>
      </c>
      <c r="D334">
        <v>0</v>
      </c>
      <c r="E334" t="s">
        <v>51</v>
      </c>
      <c r="F334" t="s">
        <v>24</v>
      </c>
      <c r="G334" t="s">
        <v>19</v>
      </c>
      <c r="H334" t="s">
        <v>21</v>
      </c>
      <c r="I334" t="s">
        <v>20</v>
      </c>
      <c r="J334" t="s">
        <v>18</v>
      </c>
    </row>
    <row r="335" spans="1:10">
      <c r="A335" t="s">
        <v>61</v>
      </c>
      <c r="D335">
        <v>-0.1</v>
      </c>
      <c r="E335" t="s">
        <v>51</v>
      </c>
      <c r="F335" t="s">
        <v>20</v>
      </c>
      <c r="G335" t="s">
        <v>17</v>
      </c>
      <c r="H335" t="s">
        <v>23</v>
      </c>
      <c r="I335" t="s">
        <v>22</v>
      </c>
      <c r="J335" t="s">
        <v>21</v>
      </c>
    </row>
    <row r="336" spans="1:10">
      <c r="A336" t="s">
        <v>61</v>
      </c>
      <c r="D336">
        <v>-0.2</v>
      </c>
      <c r="E336" t="s">
        <v>51</v>
      </c>
      <c r="F336" t="s">
        <v>24</v>
      </c>
      <c r="G336" t="s">
        <v>17</v>
      </c>
      <c r="H336" t="s">
        <v>20</v>
      </c>
      <c r="I336" t="s">
        <v>21</v>
      </c>
      <c r="J336" t="s">
        <v>19</v>
      </c>
    </row>
    <row r="337" spans="1:10">
      <c r="A337" t="s">
        <v>61</v>
      </c>
      <c r="D337">
        <v>-0.3</v>
      </c>
      <c r="E337" t="s">
        <v>51</v>
      </c>
      <c r="F337" t="s">
        <v>20</v>
      </c>
      <c r="G337" t="s">
        <v>23</v>
      </c>
      <c r="H337" t="s">
        <v>24</v>
      </c>
      <c r="I337" t="s">
        <v>19</v>
      </c>
      <c r="J337" t="s">
        <v>26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842B-3C18-C444-9FB6-CDA9BB755869}">
  <dimension ref="A1:O337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D2">
        <v>1.7</v>
      </c>
      <c r="E2" t="s">
        <v>62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15</v>
      </c>
      <c r="D3">
        <v>1.6</v>
      </c>
      <c r="E3" t="s">
        <v>62</v>
      </c>
      <c r="F3" t="s">
        <v>17</v>
      </c>
      <c r="G3" t="s">
        <v>20</v>
      </c>
      <c r="H3" t="s">
        <v>22</v>
      </c>
      <c r="I3" t="s">
        <v>23</v>
      </c>
      <c r="J3" t="s">
        <v>24</v>
      </c>
      <c r="K3" t="s">
        <v>17</v>
      </c>
      <c r="L3" t="s">
        <v>20</v>
      </c>
      <c r="M3" t="s">
        <v>22</v>
      </c>
      <c r="N3" t="s">
        <v>23</v>
      </c>
      <c r="O3" t="s">
        <v>24</v>
      </c>
    </row>
    <row r="4" spans="1:15">
      <c r="A4" t="s">
        <v>15</v>
      </c>
      <c r="D4">
        <v>1.5</v>
      </c>
      <c r="E4" t="s">
        <v>62</v>
      </c>
      <c r="F4" t="s">
        <v>18</v>
      </c>
      <c r="G4" t="s">
        <v>25</v>
      </c>
      <c r="H4" t="s">
        <v>22</v>
      </c>
      <c r="I4" t="s">
        <v>26</v>
      </c>
      <c r="J4" t="s">
        <v>17</v>
      </c>
      <c r="K4" t="s">
        <v>18</v>
      </c>
      <c r="L4" t="s">
        <v>25</v>
      </c>
      <c r="M4" t="s">
        <v>22</v>
      </c>
      <c r="N4" t="s">
        <v>26</v>
      </c>
      <c r="O4" t="s">
        <v>17</v>
      </c>
    </row>
    <row r="5" spans="1:15">
      <c r="A5" t="s">
        <v>15</v>
      </c>
      <c r="D5">
        <v>1.4</v>
      </c>
      <c r="E5" t="s">
        <v>62</v>
      </c>
      <c r="F5" t="s">
        <v>20</v>
      </c>
      <c r="G5" t="s">
        <v>25</v>
      </c>
      <c r="H5" t="s">
        <v>22</v>
      </c>
      <c r="I5" t="s">
        <v>26</v>
      </c>
      <c r="J5" t="s">
        <v>18</v>
      </c>
      <c r="K5" t="s">
        <v>20</v>
      </c>
      <c r="L5" t="s">
        <v>25</v>
      </c>
      <c r="M5" t="s">
        <v>22</v>
      </c>
      <c r="N5" t="s">
        <v>26</v>
      </c>
      <c r="O5" t="s">
        <v>18</v>
      </c>
    </row>
    <row r="6" spans="1:15">
      <c r="A6" t="s">
        <v>15</v>
      </c>
      <c r="D6">
        <v>1.3</v>
      </c>
      <c r="E6" t="s">
        <v>62</v>
      </c>
      <c r="F6" t="s">
        <v>24</v>
      </c>
      <c r="G6" t="s">
        <v>23</v>
      </c>
      <c r="H6" t="s">
        <v>20</v>
      </c>
      <c r="I6" t="s">
        <v>26</v>
      </c>
      <c r="J6" t="s">
        <v>25</v>
      </c>
      <c r="K6" t="s">
        <v>24</v>
      </c>
      <c r="L6" t="s">
        <v>23</v>
      </c>
      <c r="M6" t="s">
        <v>20</v>
      </c>
      <c r="N6" t="s">
        <v>26</v>
      </c>
      <c r="O6" t="s">
        <v>25</v>
      </c>
    </row>
    <row r="7" spans="1:15">
      <c r="A7" t="s">
        <v>15</v>
      </c>
      <c r="D7">
        <v>1.2</v>
      </c>
      <c r="E7" t="s">
        <v>62</v>
      </c>
      <c r="F7" t="s">
        <v>18</v>
      </c>
      <c r="G7" t="s">
        <v>22</v>
      </c>
      <c r="H7" t="s">
        <v>25</v>
      </c>
      <c r="I7" t="s">
        <v>17</v>
      </c>
      <c r="J7" t="s">
        <v>21</v>
      </c>
      <c r="K7" t="s">
        <v>18</v>
      </c>
      <c r="L7" t="s">
        <v>22</v>
      </c>
      <c r="M7" t="s">
        <v>25</v>
      </c>
      <c r="N7" t="s">
        <v>17</v>
      </c>
      <c r="O7" t="s">
        <v>21</v>
      </c>
    </row>
    <row r="8" spans="1:15">
      <c r="A8" t="s">
        <v>15</v>
      </c>
      <c r="D8">
        <v>1.1000000000000001</v>
      </c>
      <c r="E8" t="s">
        <v>62</v>
      </c>
      <c r="F8" t="s">
        <v>18</v>
      </c>
      <c r="G8" t="s">
        <v>20</v>
      </c>
      <c r="H8" t="s">
        <v>21</v>
      </c>
      <c r="I8" t="s">
        <v>24</v>
      </c>
      <c r="J8" t="s">
        <v>19</v>
      </c>
      <c r="K8" t="s">
        <v>18</v>
      </c>
      <c r="L8" t="s">
        <v>20</v>
      </c>
      <c r="M8" t="s">
        <v>21</v>
      </c>
      <c r="N8" t="s">
        <v>24</v>
      </c>
      <c r="O8" t="s">
        <v>19</v>
      </c>
    </row>
    <row r="9" spans="1:15">
      <c r="A9" t="s">
        <v>15</v>
      </c>
      <c r="D9">
        <v>1</v>
      </c>
      <c r="E9" t="s">
        <v>62</v>
      </c>
      <c r="F9" t="s">
        <v>21</v>
      </c>
      <c r="G9" t="s">
        <v>17</v>
      </c>
      <c r="H9" t="s">
        <v>24</v>
      </c>
      <c r="I9" t="s">
        <v>19</v>
      </c>
      <c r="J9" t="s">
        <v>26</v>
      </c>
      <c r="K9" t="s">
        <v>21</v>
      </c>
      <c r="L9" t="s">
        <v>17</v>
      </c>
      <c r="M9" t="s">
        <v>24</v>
      </c>
      <c r="N9" t="s">
        <v>19</v>
      </c>
      <c r="O9" t="s">
        <v>26</v>
      </c>
    </row>
    <row r="10" spans="1:15">
      <c r="A10" t="s">
        <v>15</v>
      </c>
      <c r="D10">
        <v>0.90000000000000102</v>
      </c>
      <c r="E10" t="s">
        <v>62</v>
      </c>
      <c r="F10" t="s">
        <v>25</v>
      </c>
      <c r="G10" t="s">
        <v>20</v>
      </c>
      <c r="H10" t="s">
        <v>26</v>
      </c>
      <c r="I10" t="s">
        <v>24</v>
      </c>
      <c r="J10" t="s">
        <v>21</v>
      </c>
      <c r="K10" t="s">
        <v>25</v>
      </c>
      <c r="L10" t="s">
        <v>20</v>
      </c>
      <c r="M10" t="s">
        <v>26</v>
      </c>
      <c r="N10" t="s">
        <v>24</v>
      </c>
      <c r="O10" t="s">
        <v>21</v>
      </c>
    </row>
    <row r="11" spans="1:15">
      <c r="A11" t="s">
        <v>15</v>
      </c>
      <c r="D11">
        <v>0.80000000000000104</v>
      </c>
      <c r="E11" t="s">
        <v>62</v>
      </c>
      <c r="F11" t="s">
        <v>25</v>
      </c>
      <c r="G11" t="s">
        <v>19</v>
      </c>
      <c r="H11" t="s">
        <v>26</v>
      </c>
      <c r="I11" t="s">
        <v>22</v>
      </c>
      <c r="J11" t="s">
        <v>21</v>
      </c>
      <c r="K11" t="s">
        <v>25</v>
      </c>
      <c r="L11" t="s">
        <v>19</v>
      </c>
      <c r="M11" t="s">
        <v>26</v>
      </c>
      <c r="N11" t="s">
        <v>22</v>
      </c>
      <c r="O11" t="s">
        <v>21</v>
      </c>
    </row>
    <row r="12" spans="1:15">
      <c r="A12" t="s">
        <v>15</v>
      </c>
      <c r="D12">
        <v>0.70000000000000095</v>
      </c>
      <c r="E12" t="s">
        <v>62</v>
      </c>
      <c r="F12" t="s">
        <v>21</v>
      </c>
      <c r="G12" t="s">
        <v>22</v>
      </c>
      <c r="H12" t="s">
        <v>18</v>
      </c>
      <c r="I12" t="s">
        <v>25</v>
      </c>
      <c r="J12" t="s">
        <v>26</v>
      </c>
      <c r="K12" t="s">
        <v>21</v>
      </c>
      <c r="L12" t="s">
        <v>22</v>
      </c>
      <c r="M12" t="s">
        <v>18</v>
      </c>
      <c r="N12" t="s">
        <v>25</v>
      </c>
      <c r="O12" t="s">
        <v>26</v>
      </c>
    </row>
    <row r="13" spans="1:15">
      <c r="A13" t="s">
        <v>15</v>
      </c>
      <c r="D13">
        <v>0.6</v>
      </c>
      <c r="E13" t="s">
        <v>62</v>
      </c>
      <c r="F13" t="s">
        <v>26</v>
      </c>
      <c r="G13" t="s">
        <v>25</v>
      </c>
      <c r="H13" t="s">
        <v>22</v>
      </c>
      <c r="I13" t="s">
        <v>20</v>
      </c>
      <c r="J13" t="s">
        <v>18</v>
      </c>
      <c r="K13" t="s">
        <v>26</v>
      </c>
      <c r="L13" t="s">
        <v>25</v>
      </c>
      <c r="M13" t="s">
        <v>22</v>
      </c>
      <c r="N13" t="s">
        <v>20</v>
      </c>
      <c r="O13" t="s">
        <v>18</v>
      </c>
    </row>
    <row r="14" spans="1:15">
      <c r="A14" t="s">
        <v>15</v>
      </c>
      <c r="D14">
        <v>0.5</v>
      </c>
      <c r="E14" t="s">
        <v>62</v>
      </c>
      <c r="F14" t="s">
        <v>24</v>
      </c>
      <c r="G14" t="s">
        <v>20</v>
      </c>
      <c r="H14" t="s">
        <v>22</v>
      </c>
      <c r="I14" t="s">
        <v>18</v>
      </c>
      <c r="J14" t="s">
        <v>26</v>
      </c>
      <c r="K14" t="s">
        <v>24</v>
      </c>
      <c r="L14" t="s">
        <v>20</v>
      </c>
      <c r="M14" t="s">
        <v>22</v>
      </c>
      <c r="N14" t="s">
        <v>18</v>
      </c>
      <c r="O14" t="s">
        <v>26</v>
      </c>
    </row>
    <row r="15" spans="1:15">
      <c r="A15" t="s">
        <v>15</v>
      </c>
      <c r="D15">
        <v>0.4</v>
      </c>
      <c r="E15" t="s">
        <v>62</v>
      </c>
      <c r="F15" t="s">
        <v>19</v>
      </c>
      <c r="G15" t="s">
        <v>21</v>
      </c>
      <c r="H15" t="s">
        <v>25</v>
      </c>
      <c r="I15" t="s">
        <v>18</v>
      </c>
      <c r="J15" t="s">
        <v>24</v>
      </c>
      <c r="K15" t="s">
        <v>19</v>
      </c>
      <c r="L15" t="s">
        <v>21</v>
      </c>
      <c r="M15" t="s">
        <v>25</v>
      </c>
      <c r="N15" t="s">
        <v>18</v>
      </c>
      <c r="O15" t="s">
        <v>24</v>
      </c>
    </row>
    <row r="16" spans="1:15">
      <c r="A16" t="s">
        <v>15</v>
      </c>
      <c r="D16">
        <v>0.3</v>
      </c>
      <c r="E16" t="s">
        <v>62</v>
      </c>
      <c r="F16" t="s">
        <v>23</v>
      </c>
      <c r="G16" t="s">
        <v>17</v>
      </c>
      <c r="H16" t="s">
        <v>26</v>
      </c>
      <c r="I16" t="s">
        <v>22</v>
      </c>
      <c r="J16" t="s">
        <v>19</v>
      </c>
      <c r="K16" t="s">
        <v>23</v>
      </c>
      <c r="L16" t="s">
        <v>17</v>
      </c>
      <c r="M16" t="s">
        <v>26</v>
      </c>
      <c r="N16" t="s">
        <v>22</v>
      </c>
      <c r="O16" t="s">
        <v>19</v>
      </c>
    </row>
    <row r="17" spans="1:15">
      <c r="A17" t="s">
        <v>15</v>
      </c>
      <c r="D17">
        <v>0.2</v>
      </c>
      <c r="E17" t="s">
        <v>62</v>
      </c>
      <c r="F17" t="s">
        <v>23</v>
      </c>
      <c r="G17" t="s">
        <v>26</v>
      </c>
      <c r="H17" t="s">
        <v>20</v>
      </c>
      <c r="I17" t="s">
        <v>18</v>
      </c>
      <c r="J17" t="s">
        <v>25</v>
      </c>
      <c r="K17" t="s">
        <v>23</v>
      </c>
      <c r="L17" t="s">
        <v>26</v>
      </c>
      <c r="M17" t="s">
        <v>20</v>
      </c>
      <c r="N17" t="s">
        <v>18</v>
      </c>
      <c r="O17" t="s">
        <v>25</v>
      </c>
    </row>
    <row r="18" spans="1:15">
      <c r="A18" t="s">
        <v>15</v>
      </c>
      <c r="D18">
        <v>9.9999999999999895E-2</v>
      </c>
      <c r="E18" t="s">
        <v>62</v>
      </c>
      <c r="F18" t="s">
        <v>18</v>
      </c>
      <c r="G18" t="s">
        <v>19</v>
      </c>
      <c r="H18" t="s">
        <v>22</v>
      </c>
      <c r="I18" t="s">
        <v>25</v>
      </c>
      <c r="J18" t="s">
        <v>17</v>
      </c>
      <c r="K18" t="s">
        <v>18</v>
      </c>
      <c r="L18" t="s">
        <v>19</v>
      </c>
      <c r="M18" t="s">
        <v>22</v>
      </c>
      <c r="N18" t="s">
        <v>25</v>
      </c>
      <c r="O18" t="s">
        <v>17</v>
      </c>
    </row>
    <row r="19" spans="1:15">
      <c r="A19" t="s">
        <v>15</v>
      </c>
      <c r="D19">
        <v>0</v>
      </c>
      <c r="E19" t="s">
        <v>62</v>
      </c>
      <c r="F19" t="s">
        <v>24</v>
      </c>
      <c r="G19" t="s">
        <v>26</v>
      </c>
      <c r="H19" t="s">
        <v>22</v>
      </c>
      <c r="I19" t="s">
        <v>21</v>
      </c>
      <c r="J19" t="s">
        <v>23</v>
      </c>
      <c r="L19" t="s">
        <v>26</v>
      </c>
      <c r="M19" t="s">
        <v>22</v>
      </c>
      <c r="N19" t="s">
        <v>21</v>
      </c>
      <c r="O19" t="s">
        <v>23</v>
      </c>
    </row>
    <row r="20" spans="1:15">
      <c r="A20" t="s">
        <v>15</v>
      </c>
      <c r="D20">
        <v>-0.1</v>
      </c>
      <c r="E20" t="s">
        <v>62</v>
      </c>
      <c r="F20" t="s">
        <v>23</v>
      </c>
      <c r="G20" t="s">
        <v>24</v>
      </c>
      <c r="H20" t="s">
        <v>25</v>
      </c>
      <c r="I20" t="s">
        <v>21</v>
      </c>
      <c r="J20" t="s">
        <v>18</v>
      </c>
      <c r="K20" t="s">
        <v>23</v>
      </c>
      <c r="L20" t="s">
        <v>24</v>
      </c>
      <c r="M20" t="s">
        <v>25</v>
      </c>
      <c r="N20" t="s">
        <v>21</v>
      </c>
      <c r="O20" t="s">
        <v>18</v>
      </c>
    </row>
    <row r="21" spans="1:15">
      <c r="A21" t="s">
        <v>15</v>
      </c>
      <c r="D21">
        <v>-0.2</v>
      </c>
      <c r="E21" t="s">
        <v>62</v>
      </c>
      <c r="F21" t="s">
        <v>20</v>
      </c>
      <c r="G21" t="s">
        <v>25</v>
      </c>
      <c r="H21" t="s">
        <v>26</v>
      </c>
      <c r="I21" t="s">
        <v>21</v>
      </c>
      <c r="J21" t="s">
        <v>17</v>
      </c>
    </row>
    <row r="22" spans="1:15">
      <c r="A22" t="s">
        <v>15</v>
      </c>
      <c r="D22">
        <v>-0.3</v>
      </c>
      <c r="E22" t="s">
        <v>62</v>
      </c>
      <c r="F22" t="s">
        <v>22</v>
      </c>
      <c r="G22" t="s">
        <v>18</v>
      </c>
      <c r="H22" t="s">
        <v>26</v>
      </c>
      <c r="I22" t="s">
        <v>21</v>
      </c>
      <c r="J22" t="s">
        <v>25</v>
      </c>
    </row>
    <row r="23" spans="1:15">
      <c r="A23" t="s">
        <v>27</v>
      </c>
      <c r="D23">
        <v>1.7</v>
      </c>
      <c r="E23" t="s">
        <v>62</v>
      </c>
      <c r="F23" t="s">
        <v>25</v>
      </c>
      <c r="G23" t="s">
        <v>19</v>
      </c>
      <c r="H23" t="s">
        <v>24</v>
      </c>
      <c r="I23" t="s">
        <v>21</v>
      </c>
      <c r="J23" t="s">
        <v>26</v>
      </c>
      <c r="K23" t="s">
        <v>25</v>
      </c>
      <c r="L23" t="s">
        <v>19</v>
      </c>
      <c r="M23" t="s">
        <v>24</v>
      </c>
      <c r="N23" t="s">
        <v>21</v>
      </c>
      <c r="O23" t="s">
        <v>26</v>
      </c>
    </row>
    <row r="24" spans="1:15">
      <c r="A24" t="s">
        <v>27</v>
      </c>
      <c r="D24">
        <v>1.6</v>
      </c>
      <c r="E24" t="s">
        <v>62</v>
      </c>
      <c r="F24" t="s">
        <v>22</v>
      </c>
      <c r="G24" t="s">
        <v>19</v>
      </c>
      <c r="H24" t="s">
        <v>26</v>
      </c>
      <c r="I24" t="s">
        <v>17</v>
      </c>
      <c r="J24" t="s">
        <v>24</v>
      </c>
      <c r="K24" t="s">
        <v>22</v>
      </c>
      <c r="L24" t="s">
        <v>19</v>
      </c>
      <c r="M24" t="s">
        <v>26</v>
      </c>
      <c r="N24" t="s">
        <v>17</v>
      </c>
      <c r="O24" t="s">
        <v>24</v>
      </c>
    </row>
    <row r="25" spans="1:15">
      <c r="A25" t="s">
        <v>27</v>
      </c>
      <c r="D25">
        <v>1.5</v>
      </c>
      <c r="E25" t="s">
        <v>62</v>
      </c>
      <c r="F25" t="s">
        <v>26</v>
      </c>
      <c r="G25" t="s">
        <v>17</v>
      </c>
      <c r="H25" t="s">
        <v>23</v>
      </c>
      <c r="I25" t="s">
        <v>21</v>
      </c>
      <c r="J25" t="s">
        <v>24</v>
      </c>
      <c r="K25" t="s">
        <v>26</v>
      </c>
      <c r="L25" t="s">
        <v>17</v>
      </c>
      <c r="M25" t="s">
        <v>23</v>
      </c>
      <c r="N25" t="s">
        <v>21</v>
      </c>
      <c r="O25" t="s">
        <v>24</v>
      </c>
    </row>
    <row r="26" spans="1:15">
      <c r="A26" t="s">
        <v>27</v>
      </c>
      <c r="D26">
        <v>1.4</v>
      </c>
      <c r="E26" t="s">
        <v>62</v>
      </c>
      <c r="F26" t="s">
        <v>23</v>
      </c>
      <c r="G26" t="s">
        <v>21</v>
      </c>
      <c r="H26" t="s">
        <v>26</v>
      </c>
      <c r="I26" t="s">
        <v>18</v>
      </c>
      <c r="J26" t="s">
        <v>22</v>
      </c>
      <c r="K26" t="s">
        <v>23</v>
      </c>
      <c r="L26" t="s">
        <v>21</v>
      </c>
      <c r="M26" t="s">
        <v>26</v>
      </c>
      <c r="N26" t="s">
        <v>18</v>
      </c>
      <c r="O26" t="s">
        <v>22</v>
      </c>
    </row>
    <row r="27" spans="1:15">
      <c r="A27" t="s">
        <v>27</v>
      </c>
      <c r="D27">
        <v>1.3</v>
      </c>
      <c r="E27" t="s">
        <v>62</v>
      </c>
      <c r="F27" t="s">
        <v>22</v>
      </c>
      <c r="G27" t="s">
        <v>19</v>
      </c>
      <c r="H27" t="s">
        <v>24</v>
      </c>
      <c r="I27" t="s">
        <v>17</v>
      </c>
      <c r="J27" t="s">
        <v>23</v>
      </c>
      <c r="K27" t="s">
        <v>22</v>
      </c>
      <c r="L27" t="s">
        <v>19</v>
      </c>
      <c r="M27" t="s">
        <v>24</v>
      </c>
      <c r="N27" t="s">
        <v>17</v>
      </c>
      <c r="O27" t="s">
        <v>23</v>
      </c>
    </row>
    <row r="28" spans="1:15">
      <c r="A28" t="s">
        <v>27</v>
      </c>
      <c r="D28">
        <v>1.2</v>
      </c>
      <c r="E28" t="s">
        <v>62</v>
      </c>
      <c r="F28" t="s">
        <v>25</v>
      </c>
      <c r="G28" t="s">
        <v>26</v>
      </c>
      <c r="H28" t="s">
        <v>17</v>
      </c>
      <c r="I28" t="s">
        <v>24</v>
      </c>
      <c r="J28" t="s">
        <v>22</v>
      </c>
      <c r="K28" t="s">
        <v>25</v>
      </c>
      <c r="L28" t="s">
        <v>26</v>
      </c>
      <c r="M28" t="s">
        <v>17</v>
      </c>
      <c r="N28" t="s">
        <v>24</v>
      </c>
      <c r="O28" t="s">
        <v>22</v>
      </c>
    </row>
    <row r="29" spans="1:15">
      <c r="A29" t="s">
        <v>27</v>
      </c>
      <c r="D29">
        <v>1.1000000000000001</v>
      </c>
      <c r="E29" t="s">
        <v>62</v>
      </c>
      <c r="F29" t="s">
        <v>22</v>
      </c>
      <c r="G29" t="s">
        <v>23</v>
      </c>
      <c r="H29" t="s">
        <v>20</v>
      </c>
      <c r="I29" t="s">
        <v>24</v>
      </c>
      <c r="J29" t="s">
        <v>19</v>
      </c>
      <c r="K29" t="s">
        <v>22</v>
      </c>
      <c r="L29" t="s">
        <v>23</v>
      </c>
      <c r="M29" t="s">
        <v>20</v>
      </c>
      <c r="N29" t="s">
        <v>24</v>
      </c>
      <c r="O29" t="s">
        <v>19</v>
      </c>
    </row>
    <row r="30" spans="1:15">
      <c r="A30" t="s">
        <v>27</v>
      </c>
      <c r="D30">
        <v>1</v>
      </c>
      <c r="E30" t="s">
        <v>62</v>
      </c>
      <c r="F30" t="s">
        <v>25</v>
      </c>
      <c r="G30" t="s">
        <v>18</v>
      </c>
      <c r="H30" t="s">
        <v>20</v>
      </c>
      <c r="I30" t="s">
        <v>23</v>
      </c>
      <c r="J30" t="s">
        <v>26</v>
      </c>
      <c r="K30" t="s">
        <v>25</v>
      </c>
      <c r="L30" t="s">
        <v>18</v>
      </c>
      <c r="M30" t="s">
        <v>20</v>
      </c>
      <c r="N30" t="s">
        <v>23</v>
      </c>
      <c r="O30" t="s">
        <v>26</v>
      </c>
    </row>
    <row r="31" spans="1:15">
      <c r="A31" t="s">
        <v>27</v>
      </c>
      <c r="D31">
        <v>0.90000000000000102</v>
      </c>
      <c r="E31" t="s">
        <v>62</v>
      </c>
      <c r="F31" t="s">
        <v>23</v>
      </c>
      <c r="G31" t="s">
        <v>22</v>
      </c>
      <c r="H31" t="s">
        <v>24</v>
      </c>
      <c r="I31" t="s">
        <v>18</v>
      </c>
      <c r="J31" t="s">
        <v>21</v>
      </c>
      <c r="K31" t="s">
        <v>23</v>
      </c>
      <c r="L31" t="s">
        <v>22</v>
      </c>
      <c r="M31" t="s">
        <v>24</v>
      </c>
      <c r="N31" t="s">
        <v>18</v>
      </c>
      <c r="O31" t="s">
        <v>21</v>
      </c>
    </row>
    <row r="32" spans="1:15">
      <c r="A32" t="s">
        <v>27</v>
      </c>
      <c r="D32">
        <v>0.80000000000000104</v>
      </c>
      <c r="E32" t="s">
        <v>62</v>
      </c>
      <c r="F32" t="s">
        <v>22</v>
      </c>
      <c r="G32" t="s">
        <v>21</v>
      </c>
      <c r="H32" t="s">
        <v>20</v>
      </c>
      <c r="I32" t="s">
        <v>26</v>
      </c>
      <c r="J32" t="s">
        <v>23</v>
      </c>
      <c r="K32" t="s">
        <v>22</v>
      </c>
      <c r="L32" t="s">
        <v>21</v>
      </c>
      <c r="M32" t="s">
        <v>20</v>
      </c>
      <c r="N32" t="s">
        <v>26</v>
      </c>
      <c r="O32" t="s">
        <v>23</v>
      </c>
    </row>
    <row r="33" spans="1:15">
      <c r="A33" t="s">
        <v>27</v>
      </c>
      <c r="D33">
        <v>0.70000000000000095</v>
      </c>
      <c r="E33" t="s">
        <v>62</v>
      </c>
      <c r="F33" t="s">
        <v>18</v>
      </c>
      <c r="G33" t="s">
        <v>25</v>
      </c>
      <c r="H33" t="s">
        <v>26</v>
      </c>
      <c r="I33" t="s">
        <v>19</v>
      </c>
      <c r="J33" t="s">
        <v>24</v>
      </c>
      <c r="K33" t="s">
        <v>18</v>
      </c>
      <c r="L33" t="s">
        <v>25</v>
      </c>
      <c r="M33" t="s">
        <v>26</v>
      </c>
      <c r="N33" t="s">
        <v>19</v>
      </c>
      <c r="O33" t="s">
        <v>24</v>
      </c>
    </row>
    <row r="34" spans="1:15">
      <c r="A34" t="s">
        <v>27</v>
      </c>
      <c r="D34">
        <v>0.6</v>
      </c>
      <c r="E34" t="s">
        <v>62</v>
      </c>
      <c r="F34" t="s">
        <v>17</v>
      </c>
      <c r="G34" t="s">
        <v>23</v>
      </c>
      <c r="H34" t="s">
        <v>22</v>
      </c>
      <c r="I34" t="s">
        <v>24</v>
      </c>
      <c r="J34" t="s">
        <v>25</v>
      </c>
      <c r="K34" t="s">
        <v>17</v>
      </c>
      <c r="L34" t="s">
        <v>23</v>
      </c>
      <c r="M34" t="s">
        <v>22</v>
      </c>
      <c r="N34" t="s">
        <v>24</v>
      </c>
      <c r="O34" t="s">
        <v>25</v>
      </c>
    </row>
    <row r="35" spans="1:15">
      <c r="A35" t="s">
        <v>27</v>
      </c>
      <c r="D35">
        <v>0.5</v>
      </c>
      <c r="E35" t="s">
        <v>62</v>
      </c>
      <c r="F35" t="s">
        <v>18</v>
      </c>
      <c r="G35" t="s">
        <v>19</v>
      </c>
      <c r="H35" t="s">
        <v>25</v>
      </c>
      <c r="I35" t="s">
        <v>21</v>
      </c>
      <c r="J35" t="s">
        <v>22</v>
      </c>
      <c r="K35" t="s">
        <v>18</v>
      </c>
      <c r="L35" t="s">
        <v>19</v>
      </c>
      <c r="M35" t="s">
        <v>25</v>
      </c>
      <c r="N35" t="s">
        <v>21</v>
      </c>
      <c r="O35" t="s">
        <v>22</v>
      </c>
    </row>
    <row r="36" spans="1:15">
      <c r="A36" t="s">
        <v>27</v>
      </c>
      <c r="D36">
        <v>0.4</v>
      </c>
      <c r="E36" t="s">
        <v>62</v>
      </c>
      <c r="F36" t="s">
        <v>22</v>
      </c>
      <c r="G36" t="s">
        <v>24</v>
      </c>
      <c r="H36" t="s">
        <v>23</v>
      </c>
      <c r="I36" t="s">
        <v>20</v>
      </c>
      <c r="J36" t="s">
        <v>21</v>
      </c>
      <c r="K36" t="s">
        <v>22</v>
      </c>
      <c r="L36" t="s">
        <v>24</v>
      </c>
      <c r="M36" t="s">
        <v>23</v>
      </c>
      <c r="N36" t="s">
        <v>20</v>
      </c>
      <c r="O36" t="s">
        <v>21</v>
      </c>
    </row>
    <row r="37" spans="1:15">
      <c r="A37" t="s">
        <v>27</v>
      </c>
      <c r="D37">
        <v>0.3</v>
      </c>
      <c r="E37" t="s">
        <v>62</v>
      </c>
      <c r="F37" t="s">
        <v>21</v>
      </c>
      <c r="G37" t="s">
        <v>20</v>
      </c>
      <c r="H37" t="s">
        <v>23</v>
      </c>
      <c r="I37" t="s">
        <v>18</v>
      </c>
      <c r="J37" t="s">
        <v>24</v>
      </c>
      <c r="K37" t="s">
        <v>21</v>
      </c>
      <c r="L37" t="s">
        <v>20</v>
      </c>
      <c r="M37" t="s">
        <v>23</v>
      </c>
      <c r="O37" t="s">
        <v>24</v>
      </c>
    </row>
    <row r="38" spans="1:15">
      <c r="A38" t="s">
        <v>27</v>
      </c>
      <c r="D38">
        <v>0.2</v>
      </c>
      <c r="E38" t="s">
        <v>62</v>
      </c>
      <c r="F38" t="s">
        <v>20</v>
      </c>
      <c r="G38" t="s">
        <v>26</v>
      </c>
      <c r="H38" t="s">
        <v>23</v>
      </c>
      <c r="I38" t="s">
        <v>18</v>
      </c>
      <c r="J38" t="s">
        <v>17</v>
      </c>
    </row>
    <row r="39" spans="1:15">
      <c r="A39" t="s">
        <v>27</v>
      </c>
      <c r="D39">
        <v>9.9999999999999895E-2</v>
      </c>
      <c r="E39" t="s">
        <v>62</v>
      </c>
      <c r="F39" t="s">
        <v>24</v>
      </c>
      <c r="G39" t="s">
        <v>25</v>
      </c>
      <c r="H39" t="s">
        <v>19</v>
      </c>
      <c r="I39" t="s">
        <v>17</v>
      </c>
      <c r="J39" t="s">
        <v>22</v>
      </c>
    </row>
    <row r="40" spans="1:15">
      <c r="A40" t="s">
        <v>27</v>
      </c>
      <c r="D40">
        <v>0</v>
      </c>
      <c r="E40" t="s">
        <v>62</v>
      </c>
      <c r="F40" t="s">
        <v>26</v>
      </c>
      <c r="G40" t="s">
        <v>25</v>
      </c>
      <c r="H40" t="s">
        <v>21</v>
      </c>
      <c r="I40" t="s">
        <v>22</v>
      </c>
      <c r="J40" t="s">
        <v>23</v>
      </c>
    </row>
    <row r="41" spans="1:15">
      <c r="A41" t="s">
        <v>27</v>
      </c>
      <c r="D41">
        <v>-0.1</v>
      </c>
      <c r="E41" t="s">
        <v>62</v>
      </c>
      <c r="F41" t="s">
        <v>24</v>
      </c>
      <c r="G41" t="s">
        <v>17</v>
      </c>
      <c r="H41" t="s">
        <v>19</v>
      </c>
      <c r="I41" t="s">
        <v>20</v>
      </c>
      <c r="J41" t="s">
        <v>18</v>
      </c>
    </row>
    <row r="42" spans="1:15">
      <c r="A42" t="s">
        <v>27</v>
      </c>
      <c r="D42">
        <v>-0.2</v>
      </c>
      <c r="E42" t="s">
        <v>62</v>
      </c>
      <c r="F42" t="s">
        <v>19</v>
      </c>
      <c r="G42" t="s">
        <v>23</v>
      </c>
      <c r="H42" t="s">
        <v>25</v>
      </c>
      <c r="I42" t="s">
        <v>26</v>
      </c>
      <c r="J42" t="s">
        <v>18</v>
      </c>
    </row>
    <row r="43" spans="1:15">
      <c r="A43" t="s">
        <v>27</v>
      </c>
      <c r="D43">
        <v>-0.3</v>
      </c>
      <c r="E43" t="s">
        <v>62</v>
      </c>
      <c r="F43" t="s">
        <v>25</v>
      </c>
      <c r="G43" t="s">
        <v>21</v>
      </c>
      <c r="H43" t="s">
        <v>17</v>
      </c>
      <c r="I43" t="s">
        <v>23</v>
      </c>
      <c r="J43" t="s">
        <v>18</v>
      </c>
    </row>
    <row r="44" spans="1:15">
      <c r="A44" t="s">
        <v>28</v>
      </c>
      <c r="D44">
        <v>1.7</v>
      </c>
      <c r="E44" t="s">
        <v>62</v>
      </c>
      <c r="F44" t="s">
        <v>26</v>
      </c>
      <c r="G44" t="s">
        <v>23</v>
      </c>
      <c r="H44" t="s">
        <v>22</v>
      </c>
      <c r="I44" t="s">
        <v>25</v>
      </c>
      <c r="J44" t="s">
        <v>24</v>
      </c>
      <c r="K44" t="s">
        <v>26</v>
      </c>
      <c r="L44" t="s">
        <v>23</v>
      </c>
      <c r="M44" t="s">
        <v>22</v>
      </c>
      <c r="N44" t="s">
        <v>25</v>
      </c>
      <c r="O44" t="s">
        <v>24</v>
      </c>
    </row>
    <row r="45" spans="1:15">
      <c r="A45" t="s">
        <v>28</v>
      </c>
      <c r="D45">
        <v>1.6</v>
      </c>
      <c r="E45" t="s">
        <v>62</v>
      </c>
      <c r="F45" t="s">
        <v>24</v>
      </c>
      <c r="G45" t="s">
        <v>26</v>
      </c>
      <c r="H45" t="s">
        <v>18</v>
      </c>
      <c r="I45" t="s">
        <v>22</v>
      </c>
      <c r="J45" t="s">
        <v>20</v>
      </c>
      <c r="K45" t="s">
        <v>24</v>
      </c>
      <c r="L45" t="s">
        <v>26</v>
      </c>
      <c r="M45" t="s">
        <v>18</v>
      </c>
      <c r="N45" t="s">
        <v>22</v>
      </c>
      <c r="O45" t="s">
        <v>20</v>
      </c>
    </row>
    <row r="46" spans="1:15">
      <c r="A46" t="s">
        <v>28</v>
      </c>
      <c r="D46">
        <v>1.5</v>
      </c>
      <c r="E46" t="s">
        <v>62</v>
      </c>
      <c r="F46" t="s">
        <v>19</v>
      </c>
      <c r="G46" t="s">
        <v>21</v>
      </c>
      <c r="H46" t="s">
        <v>22</v>
      </c>
      <c r="I46" t="s">
        <v>25</v>
      </c>
      <c r="J46" t="s">
        <v>17</v>
      </c>
      <c r="K46" t="s">
        <v>19</v>
      </c>
      <c r="L46" t="s">
        <v>21</v>
      </c>
      <c r="M46" t="s">
        <v>22</v>
      </c>
      <c r="N46" t="s">
        <v>25</v>
      </c>
      <c r="O46" t="s">
        <v>17</v>
      </c>
    </row>
    <row r="47" spans="1:15">
      <c r="A47" t="s">
        <v>28</v>
      </c>
      <c r="D47">
        <v>1.4</v>
      </c>
      <c r="E47" t="s">
        <v>62</v>
      </c>
      <c r="F47" t="s">
        <v>20</v>
      </c>
      <c r="G47" t="s">
        <v>19</v>
      </c>
      <c r="H47" t="s">
        <v>22</v>
      </c>
      <c r="I47" t="s">
        <v>18</v>
      </c>
      <c r="J47" t="s">
        <v>26</v>
      </c>
      <c r="K47" t="s">
        <v>20</v>
      </c>
      <c r="L47" t="s">
        <v>19</v>
      </c>
      <c r="M47" t="s">
        <v>22</v>
      </c>
      <c r="N47" t="s">
        <v>18</v>
      </c>
      <c r="O47" t="s">
        <v>26</v>
      </c>
    </row>
    <row r="48" spans="1:15">
      <c r="A48" t="s">
        <v>28</v>
      </c>
      <c r="D48">
        <v>1.3</v>
      </c>
      <c r="E48" t="s">
        <v>62</v>
      </c>
      <c r="F48" t="s">
        <v>24</v>
      </c>
      <c r="G48" t="s">
        <v>26</v>
      </c>
      <c r="H48" t="s">
        <v>18</v>
      </c>
      <c r="I48" t="s">
        <v>19</v>
      </c>
      <c r="J48" t="s">
        <v>25</v>
      </c>
      <c r="K48" t="s">
        <v>24</v>
      </c>
      <c r="L48" t="s">
        <v>26</v>
      </c>
      <c r="M48" t="s">
        <v>18</v>
      </c>
      <c r="N48" t="s">
        <v>19</v>
      </c>
      <c r="O48" t="s">
        <v>25</v>
      </c>
    </row>
    <row r="49" spans="1:15">
      <c r="A49" t="s">
        <v>28</v>
      </c>
      <c r="D49">
        <v>1.2</v>
      </c>
      <c r="E49" t="s">
        <v>62</v>
      </c>
      <c r="F49" t="s">
        <v>25</v>
      </c>
      <c r="G49" t="s">
        <v>24</v>
      </c>
      <c r="H49" t="s">
        <v>18</v>
      </c>
      <c r="I49" t="s">
        <v>20</v>
      </c>
      <c r="J49" t="s">
        <v>22</v>
      </c>
      <c r="K49" t="s">
        <v>25</v>
      </c>
      <c r="L49" t="s">
        <v>24</v>
      </c>
      <c r="M49" t="s">
        <v>18</v>
      </c>
      <c r="N49" t="s">
        <v>20</v>
      </c>
      <c r="O49" t="s">
        <v>22</v>
      </c>
    </row>
    <row r="50" spans="1:15">
      <c r="A50" t="s">
        <v>28</v>
      </c>
      <c r="D50">
        <v>1.1000000000000001</v>
      </c>
      <c r="E50" t="s">
        <v>62</v>
      </c>
      <c r="F50" t="s">
        <v>25</v>
      </c>
      <c r="G50" t="s">
        <v>26</v>
      </c>
      <c r="H50" t="s">
        <v>17</v>
      </c>
      <c r="I50" t="s">
        <v>24</v>
      </c>
      <c r="J50" t="s">
        <v>23</v>
      </c>
      <c r="K50" t="s">
        <v>25</v>
      </c>
      <c r="L50" t="s">
        <v>26</v>
      </c>
      <c r="M50" t="s">
        <v>17</v>
      </c>
      <c r="N50" t="s">
        <v>24</v>
      </c>
      <c r="O50" t="s">
        <v>23</v>
      </c>
    </row>
    <row r="51" spans="1:15">
      <c r="A51" t="s">
        <v>28</v>
      </c>
      <c r="D51">
        <v>1</v>
      </c>
      <c r="E51" t="s">
        <v>62</v>
      </c>
      <c r="F51" t="s">
        <v>25</v>
      </c>
      <c r="G51" t="s">
        <v>23</v>
      </c>
      <c r="H51" t="s">
        <v>21</v>
      </c>
      <c r="I51" t="s">
        <v>20</v>
      </c>
      <c r="J51" t="s">
        <v>18</v>
      </c>
      <c r="K51" t="s">
        <v>25</v>
      </c>
      <c r="L51" t="s">
        <v>23</v>
      </c>
      <c r="M51" t="s">
        <v>21</v>
      </c>
      <c r="N51" t="s">
        <v>20</v>
      </c>
      <c r="O51" t="s">
        <v>18</v>
      </c>
    </row>
    <row r="52" spans="1:15">
      <c r="A52" t="s">
        <v>28</v>
      </c>
      <c r="D52">
        <v>0.90000000000000102</v>
      </c>
      <c r="E52" t="s">
        <v>62</v>
      </c>
      <c r="F52" t="s">
        <v>17</v>
      </c>
      <c r="G52" t="s">
        <v>18</v>
      </c>
      <c r="H52" t="s">
        <v>22</v>
      </c>
      <c r="I52" t="s">
        <v>25</v>
      </c>
      <c r="J52" t="s">
        <v>24</v>
      </c>
      <c r="K52" t="s">
        <v>17</v>
      </c>
      <c r="L52" t="s">
        <v>18</v>
      </c>
      <c r="M52" t="s">
        <v>22</v>
      </c>
      <c r="N52" t="s">
        <v>25</v>
      </c>
      <c r="O52" t="s">
        <v>24</v>
      </c>
    </row>
    <row r="53" spans="1:15">
      <c r="A53" t="s">
        <v>28</v>
      </c>
      <c r="D53">
        <v>0.80000000000000104</v>
      </c>
      <c r="E53" t="s">
        <v>62</v>
      </c>
      <c r="F53" t="s">
        <v>18</v>
      </c>
      <c r="G53" t="s">
        <v>17</v>
      </c>
      <c r="H53" t="s">
        <v>25</v>
      </c>
      <c r="I53" t="s">
        <v>26</v>
      </c>
      <c r="J53" t="s">
        <v>24</v>
      </c>
      <c r="K53" t="s">
        <v>18</v>
      </c>
      <c r="L53" t="s">
        <v>17</v>
      </c>
      <c r="M53" t="s">
        <v>25</v>
      </c>
      <c r="N53" t="s">
        <v>26</v>
      </c>
      <c r="O53" t="s">
        <v>24</v>
      </c>
    </row>
    <row r="54" spans="1:15">
      <c r="A54" t="s">
        <v>28</v>
      </c>
      <c r="D54">
        <v>0.70000000000000095</v>
      </c>
      <c r="E54" t="s">
        <v>62</v>
      </c>
      <c r="F54" t="s">
        <v>20</v>
      </c>
      <c r="G54" t="s">
        <v>18</v>
      </c>
      <c r="H54" t="s">
        <v>22</v>
      </c>
      <c r="I54" t="s">
        <v>17</v>
      </c>
      <c r="J54" t="s">
        <v>25</v>
      </c>
      <c r="K54" t="s">
        <v>20</v>
      </c>
      <c r="L54" t="s">
        <v>18</v>
      </c>
      <c r="N54" t="s">
        <v>17</v>
      </c>
    </row>
    <row r="55" spans="1:15">
      <c r="A55" t="s">
        <v>28</v>
      </c>
      <c r="D55">
        <v>0.6</v>
      </c>
      <c r="E55" t="s">
        <v>62</v>
      </c>
      <c r="F55" t="s">
        <v>20</v>
      </c>
      <c r="G55" t="s">
        <v>25</v>
      </c>
      <c r="H55" t="s">
        <v>24</v>
      </c>
      <c r="I55" t="s">
        <v>22</v>
      </c>
      <c r="J55" t="s">
        <v>21</v>
      </c>
    </row>
    <row r="56" spans="1:15">
      <c r="A56" t="s">
        <v>28</v>
      </c>
      <c r="D56">
        <v>0.5</v>
      </c>
      <c r="E56" t="s">
        <v>62</v>
      </c>
      <c r="F56" t="s">
        <v>26</v>
      </c>
      <c r="G56" t="s">
        <v>19</v>
      </c>
      <c r="H56" t="s">
        <v>20</v>
      </c>
      <c r="I56" t="s">
        <v>24</v>
      </c>
      <c r="J56" t="s">
        <v>25</v>
      </c>
    </row>
    <row r="57" spans="1:15">
      <c r="A57" t="s">
        <v>28</v>
      </c>
      <c r="D57">
        <v>0.4</v>
      </c>
      <c r="E57" t="s">
        <v>62</v>
      </c>
      <c r="F57" t="s">
        <v>20</v>
      </c>
      <c r="G57" t="s">
        <v>23</v>
      </c>
      <c r="H57" t="s">
        <v>26</v>
      </c>
      <c r="I57" t="s">
        <v>18</v>
      </c>
      <c r="J57" t="s">
        <v>24</v>
      </c>
    </row>
    <row r="58" spans="1:15">
      <c r="A58" t="s">
        <v>28</v>
      </c>
      <c r="D58">
        <v>0.3</v>
      </c>
      <c r="E58" t="s">
        <v>62</v>
      </c>
      <c r="F58" t="s">
        <v>18</v>
      </c>
      <c r="G58" t="s">
        <v>17</v>
      </c>
      <c r="H58" t="s">
        <v>24</v>
      </c>
      <c r="I58" t="s">
        <v>19</v>
      </c>
      <c r="J58" t="s">
        <v>23</v>
      </c>
    </row>
    <row r="59" spans="1:15">
      <c r="A59" t="s">
        <v>28</v>
      </c>
      <c r="D59">
        <v>0.2</v>
      </c>
      <c r="E59" t="s">
        <v>62</v>
      </c>
      <c r="F59" t="s">
        <v>26</v>
      </c>
      <c r="G59" t="s">
        <v>21</v>
      </c>
      <c r="H59" t="s">
        <v>18</v>
      </c>
      <c r="I59" t="s">
        <v>20</v>
      </c>
      <c r="J59" t="s">
        <v>22</v>
      </c>
    </row>
    <row r="60" spans="1:15">
      <c r="A60" t="s">
        <v>28</v>
      </c>
      <c r="D60">
        <v>9.9999999999999895E-2</v>
      </c>
      <c r="E60" t="s">
        <v>62</v>
      </c>
      <c r="F60" t="s">
        <v>22</v>
      </c>
      <c r="G60" t="s">
        <v>24</v>
      </c>
      <c r="H60" t="s">
        <v>21</v>
      </c>
      <c r="I60" t="s">
        <v>26</v>
      </c>
      <c r="J60" t="s">
        <v>23</v>
      </c>
    </row>
    <row r="61" spans="1:15">
      <c r="A61" t="s">
        <v>28</v>
      </c>
      <c r="D61">
        <v>0</v>
      </c>
      <c r="E61" t="s">
        <v>62</v>
      </c>
      <c r="F61" t="s">
        <v>18</v>
      </c>
      <c r="G61" t="s">
        <v>24</v>
      </c>
      <c r="H61" t="s">
        <v>25</v>
      </c>
      <c r="I61" t="s">
        <v>17</v>
      </c>
      <c r="J61" t="s">
        <v>21</v>
      </c>
    </row>
    <row r="62" spans="1:15">
      <c r="A62" t="s">
        <v>28</v>
      </c>
      <c r="D62">
        <v>-0.1</v>
      </c>
      <c r="E62" t="s">
        <v>62</v>
      </c>
      <c r="F62" t="s">
        <v>21</v>
      </c>
      <c r="G62" t="s">
        <v>18</v>
      </c>
      <c r="H62" t="s">
        <v>25</v>
      </c>
      <c r="I62" t="s">
        <v>19</v>
      </c>
      <c r="J62" t="s">
        <v>20</v>
      </c>
    </row>
    <row r="63" spans="1:15">
      <c r="A63" t="s">
        <v>28</v>
      </c>
      <c r="D63">
        <v>-0.2</v>
      </c>
      <c r="E63" t="s">
        <v>62</v>
      </c>
      <c r="F63" t="s">
        <v>26</v>
      </c>
      <c r="G63" t="s">
        <v>24</v>
      </c>
      <c r="H63" t="s">
        <v>21</v>
      </c>
      <c r="I63" t="s">
        <v>17</v>
      </c>
      <c r="J63" t="s">
        <v>20</v>
      </c>
    </row>
    <row r="64" spans="1:15">
      <c r="A64" t="s">
        <v>28</v>
      </c>
      <c r="D64">
        <v>-0.3</v>
      </c>
      <c r="E64" t="s">
        <v>62</v>
      </c>
      <c r="F64" t="s">
        <v>20</v>
      </c>
      <c r="G64" t="s">
        <v>26</v>
      </c>
      <c r="H64" t="s">
        <v>24</v>
      </c>
      <c r="I64" t="s">
        <v>18</v>
      </c>
      <c r="J64" t="s">
        <v>23</v>
      </c>
    </row>
    <row r="65" spans="1:15">
      <c r="A65" t="s">
        <v>29</v>
      </c>
      <c r="D65">
        <v>1.7</v>
      </c>
      <c r="E65" t="s">
        <v>62</v>
      </c>
      <c r="F65" t="s">
        <v>26</v>
      </c>
      <c r="G65" t="s">
        <v>25</v>
      </c>
      <c r="H65" t="s">
        <v>17</v>
      </c>
      <c r="I65" t="s">
        <v>18</v>
      </c>
      <c r="J65" t="s">
        <v>21</v>
      </c>
      <c r="K65" t="s">
        <v>26</v>
      </c>
      <c r="L65" t="s">
        <v>25</v>
      </c>
      <c r="M65" t="s">
        <v>17</v>
      </c>
      <c r="N65" t="s">
        <v>18</v>
      </c>
      <c r="O65" t="s">
        <v>21</v>
      </c>
    </row>
    <row r="66" spans="1:15">
      <c r="A66" t="s">
        <v>29</v>
      </c>
      <c r="D66">
        <v>1.6</v>
      </c>
      <c r="E66" t="s">
        <v>62</v>
      </c>
      <c r="F66" t="s">
        <v>23</v>
      </c>
      <c r="G66" t="s">
        <v>25</v>
      </c>
      <c r="H66" t="s">
        <v>24</v>
      </c>
      <c r="I66" t="s">
        <v>18</v>
      </c>
      <c r="J66" t="s">
        <v>19</v>
      </c>
      <c r="K66" t="s">
        <v>23</v>
      </c>
      <c r="L66" t="s">
        <v>25</v>
      </c>
      <c r="M66" t="s">
        <v>24</v>
      </c>
      <c r="N66" t="s">
        <v>18</v>
      </c>
      <c r="O66" t="s">
        <v>19</v>
      </c>
    </row>
    <row r="67" spans="1:15">
      <c r="A67" t="s">
        <v>29</v>
      </c>
      <c r="D67">
        <v>1.5</v>
      </c>
      <c r="E67" t="s">
        <v>62</v>
      </c>
      <c r="F67" t="s">
        <v>26</v>
      </c>
      <c r="G67" t="s">
        <v>22</v>
      </c>
      <c r="H67" t="s">
        <v>23</v>
      </c>
      <c r="I67" t="s">
        <v>19</v>
      </c>
      <c r="J67" t="s">
        <v>25</v>
      </c>
      <c r="K67" t="s">
        <v>26</v>
      </c>
      <c r="L67" t="s">
        <v>22</v>
      </c>
      <c r="M67" t="s">
        <v>23</v>
      </c>
      <c r="N67" t="s">
        <v>19</v>
      </c>
      <c r="O67" t="s">
        <v>25</v>
      </c>
    </row>
    <row r="68" spans="1:15">
      <c r="A68" t="s">
        <v>29</v>
      </c>
      <c r="D68">
        <v>1.4</v>
      </c>
      <c r="E68" t="s">
        <v>62</v>
      </c>
      <c r="F68" t="s">
        <v>21</v>
      </c>
      <c r="G68" t="s">
        <v>19</v>
      </c>
      <c r="H68" t="s">
        <v>22</v>
      </c>
      <c r="I68" t="s">
        <v>24</v>
      </c>
      <c r="J68" t="s">
        <v>25</v>
      </c>
      <c r="K68" t="s">
        <v>21</v>
      </c>
      <c r="L68" t="s">
        <v>19</v>
      </c>
      <c r="M68" t="s">
        <v>22</v>
      </c>
      <c r="N68" t="s">
        <v>24</v>
      </c>
      <c r="O68" t="s">
        <v>25</v>
      </c>
    </row>
    <row r="69" spans="1:15">
      <c r="A69" t="s">
        <v>29</v>
      </c>
      <c r="D69">
        <v>1.3</v>
      </c>
      <c r="E69" t="s">
        <v>62</v>
      </c>
      <c r="F69" t="s">
        <v>20</v>
      </c>
      <c r="G69" t="s">
        <v>25</v>
      </c>
      <c r="H69" t="s">
        <v>19</v>
      </c>
      <c r="I69" t="s">
        <v>22</v>
      </c>
      <c r="J69" t="s">
        <v>17</v>
      </c>
      <c r="K69" t="s">
        <v>20</v>
      </c>
      <c r="L69" t="s">
        <v>25</v>
      </c>
      <c r="M69" t="s">
        <v>19</v>
      </c>
      <c r="N69" t="s">
        <v>22</v>
      </c>
      <c r="O69" t="s">
        <v>17</v>
      </c>
    </row>
    <row r="70" spans="1:15">
      <c r="A70" t="s">
        <v>29</v>
      </c>
      <c r="D70">
        <v>1.2</v>
      </c>
      <c r="E70" t="s">
        <v>62</v>
      </c>
      <c r="F70" t="s">
        <v>17</v>
      </c>
      <c r="G70" t="s">
        <v>25</v>
      </c>
      <c r="H70" t="s">
        <v>18</v>
      </c>
      <c r="I70" t="s">
        <v>20</v>
      </c>
      <c r="J70" t="s">
        <v>19</v>
      </c>
      <c r="K70" t="s">
        <v>17</v>
      </c>
      <c r="L70" t="s">
        <v>25</v>
      </c>
      <c r="M70" t="s">
        <v>18</v>
      </c>
      <c r="N70" t="s">
        <v>20</v>
      </c>
      <c r="O70" t="s">
        <v>19</v>
      </c>
    </row>
    <row r="71" spans="1:15">
      <c r="A71" t="s">
        <v>29</v>
      </c>
      <c r="D71">
        <v>1.1000000000000001</v>
      </c>
      <c r="E71" t="s">
        <v>62</v>
      </c>
      <c r="F71" t="s">
        <v>22</v>
      </c>
      <c r="G71" t="s">
        <v>23</v>
      </c>
      <c r="H71" t="s">
        <v>24</v>
      </c>
      <c r="I71" t="s">
        <v>18</v>
      </c>
      <c r="J71" t="s">
        <v>21</v>
      </c>
      <c r="K71" t="s">
        <v>22</v>
      </c>
      <c r="L71" t="s">
        <v>23</v>
      </c>
      <c r="M71" t="s">
        <v>24</v>
      </c>
      <c r="N71" t="s">
        <v>18</v>
      </c>
    </row>
    <row r="72" spans="1:15">
      <c r="A72" t="s">
        <v>29</v>
      </c>
      <c r="D72">
        <v>1</v>
      </c>
      <c r="E72" t="s">
        <v>62</v>
      </c>
      <c r="F72" t="s">
        <v>20</v>
      </c>
      <c r="G72" t="s">
        <v>21</v>
      </c>
      <c r="H72" t="s">
        <v>18</v>
      </c>
      <c r="I72" t="s">
        <v>26</v>
      </c>
      <c r="J72" t="s">
        <v>22</v>
      </c>
      <c r="K72" t="s">
        <v>20</v>
      </c>
      <c r="L72" t="s">
        <v>21</v>
      </c>
      <c r="M72" t="s">
        <v>18</v>
      </c>
      <c r="N72" t="s">
        <v>26</v>
      </c>
      <c r="O72" t="s">
        <v>22</v>
      </c>
    </row>
    <row r="73" spans="1:15">
      <c r="A73" t="s">
        <v>29</v>
      </c>
      <c r="D73">
        <v>0.90000000000000102</v>
      </c>
      <c r="E73" t="s">
        <v>62</v>
      </c>
      <c r="F73" t="s">
        <v>17</v>
      </c>
      <c r="G73" t="s">
        <v>19</v>
      </c>
      <c r="H73" t="s">
        <v>21</v>
      </c>
      <c r="I73" t="s">
        <v>25</v>
      </c>
      <c r="J73" t="s">
        <v>26</v>
      </c>
    </row>
    <row r="74" spans="1:15">
      <c r="A74" t="s">
        <v>29</v>
      </c>
      <c r="D74">
        <v>0.80000000000000104</v>
      </c>
      <c r="E74" t="s">
        <v>62</v>
      </c>
      <c r="F74" t="s">
        <v>23</v>
      </c>
      <c r="G74" t="s">
        <v>22</v>
      </c>
      <c r="H74" t="s">
        <v>19</v>
      </c>
      <c r="I74" t="s">
        <v>21</v>
      </c>
      <c r="J74" t="s">
        <v>20</v>
      </c>
    </row>
    <row r="75" spans="1:15">
      <c r="A75" t="s">
        <v>29</v>
      </c>
      <c r="D75">
        <v>0.70000000000000095</v>
      </c>
      <c r="E75" t="s">
        <v>62</v>
      </c>
      <c r="F75" t="s">
        <v>21</v>
      </c>
      <c r="G75" t="s">
        <v>25</v>
      </c>
      <c r="H75" t="s">
        <v>18</v>
      </c>
      <c r="I75" t="s">
        <v>20</v>
      </c>
      <c r="J75" t="s">
        <v>17</v>
      </c>
    </row>
    <row r="76" spans="1:15">
      <c r="A76" t="s">
        <v>29</v>
      </c>
      <c r="D76">
        <v>0.6</v>
      </c>
      <c r="E76" t="s">
        <v>62</v>
      </c>
      <c r="F76" t="s">
        <v>23</v>
      </c>
      <c r="G76" t="s">
        <v>21</v>
      </c>
      <c r="H76" t="s">
        <v>22</v>
      </c>
      <c r="I76" t="s">
        <v>19</v>
      </c>
      <c r="J76" t="s">
        <v>25</v>
      </c>
    </row>
    <row r="77" spans="1:15">
      <c r="A77" t="s">
        <v>29</v>
      </c>
      <c r="D77">
        <v>0.5</v>
      </c>
      <c r="E77" t="s">
        <v>62</v>
      </c>
      <c r="F77" t="s">
        <v>24</v>
      </c>
      <c r="G77" t="s">
        <v>20</v>
      </c>
      <c r="H77" t="s">
        <v>21</v>
      </c>
      <c r="I77" t="s">
        <v>18</v>
      </c>
      <c r="J77" t="s">
        <v>19</v>
      </c>
    </row>
    <row r="78" spans="1:15">
      <c r="A78" t="s">
        <v>29</v>
      </c>
      <c r="D78">
        <v>0.4</v>
      </c>
      <c r="E78" t="s">
        <v>62</v>
      </c>
      <c r="F78" t="s">
        <v>26</v>
      </c>
      <c r="G78" t="s">
        <v>20</v>
      </c>
      <c r="H78" t="s">
        <v>21</v>
      </c>
      <c r="I78" t="s">
        <v>25</v>
      </c>
      <c r="J78" t="s">
        <v>24</v>
      </c>
    </row>
    <row r="79" spans="1:15">
      <c r="A79" t="s">
        <v>29</v>
      </c>
      <c r="D79">
        <v>0.3</v>
      </c>
      <c r="E79" t="s">
        <v>62</v>
      </c>
      <c r="F79" t="s">
        <v>17</v>
      </c>
      <c r="G79" t="s">
        <v>18</v>
      </c>
      <c r="H79" t="s">
        <v>19</v>
      </c>
      <c r="I79" t="s">
        <v>24</v>
      </c>
      <c r="J79" t="s">
        <v>23</v>
      </c>
    </row>
    <row r="80" spans="1:15">
      <c r="A80" t="s">
        <v>29</v>
      </c>
      <c r="D80">
        <v>0.2</v>
      </c>
      <c r="E80" t="s">
        <v>62</v>
      </c>
      <c r="F80" t="s">
        <v>20</v>
      </c>
      <c r="G80" t="s">
        <v>26</v>
      </c>
      <c r="H80" t="s">
        <v>19</v>
      </c>
      <c r="I80" t="s">
        <v>18</v>
      </c>
      <c r="J80" t="s">
        <v>22</v>
      </c>
    </row>
    <row r="81" spans="1:15">
      <c r="A81" t="s">
        <v>29</v>
      </c>
      <c r="D81">
        <v>9.9999999999999895E-2</v>
      </c>
      <c r="E81" t="s">
        <v>62</v>
      </c>
      <c r="F81" t="s">
        <v>18</v>
      </c>
      <c r="G81" t="s">
        <v>19</v>
      </c>
      <c r="H81" t="s">
        <v>26</v>
      </c>
      <c r="I81" t="s">
        <v>17</v>
      </c>
      <c r="J81" t="s">
        <v>21</v>
      </c>
    </row>
    <row r="82" spans="1:15">
      <c r="A82" t="s">
        <v>29</v>
      </c>
      <c r="D82">
        <v>0</v>
      </c>
      <c r="E82" t="s">
        <v>62</v>
      </c>
      <c r="F82" t="s">
        <v>23</v>
      </c>
      <c r="G82" t="s">
        <v>19</v>
      </c>
      <c r="H82" t="s">
        <v>26</v>
      </c>
      <c r="I82" t="s">
        <v>17</v>
      </c>
      <c r="J82" t="s">
        <v>25</v>
      </c>
    </row>
    <row r="83" spans="1:15">
      <c r="A83" t="s">
        <v>29</v>
      </c>
      <c r="D83">
        <v>-0.1</v>
      </c>
      <c r="E83" t="s">
        <v>62</v>
      </c>
      <c r="F83" t="s">
        <v>19</v>
      </c>
      <c r="G83" t="s">
        <v>17</v>
      </c>
      <c r="H83" t="s">
        <v>21</v>
      </c>
      <c r="I83" t="s">
        <v>23</v>
      </c>
      <c r="J83" t="s">
        <v>26</v>
      </c>
    </row>
    <row r="84" spans="1:15">
      <c r="A84" t="s">
        <v>29</v>
      </c>
      <c r="D84">
        <v>-0.2</v>
      </c>
      <c r="E84" t="s">
        <v>62</v>
      </c>
      <c r="F84" t="s">
        <v>23</v>
      </c>
      <c r="G84" t="s">
        <v>17</v>
      </c>
      <c r="H84" t="s">
        <v>20</v>
      </c>
      <c r="I84" t="s">
        <v>24</v>
      </c>
      <c r="J84" t="s">
        <v>19</v>
      </c>
    </row>
    <row r="85" spans="1:15">
      <c r="A85" t="s">
        <v>29</v>
      </c>
      <c r="D85">
        <v>-0.3</v>
      </c>
      <c r="E85" t="s">
        <v>62</v>
      </c>
      <c r="F85" t="s">
        <v>26</v>
      </c>
      <c r="G85" t="s">
        <v>23</v>
      </c>
      <c r="H85" t="s">
        <v>19</v>
      </c>
      <c r="I85" t="s">
        <v>21</v>
      </c>
      <c r="J85" t="s">
        <v>25</v>
      </c>
    </row>
    <row r="86" spans="1:15">
      <c r="A86" t="s">
        <v>30</v>
      </c>
      <c r="D86">
        <v>1.7</v>
      </c>
      <c r="E86" t="s">
        <v>62</v>
      </c>
      <c r="F86" t="s">
        <v>19</v>
      </c>
      <c r="G86" t="s">
        <v>25</v>
      </c>
      <c r="H86" t="s">
        <v>20</v>
      </c>
      <c r="I86" t="s">
        <v>22</v>
      </c>
      <c r="J86" t="s">
        <v>24</v>
      </c>
      <c r="K86" t="s">
        <v>19</v>
      </c>
      <c r="L86" t="s">
        <v>25</v>
      </c>
      <c r="M86" t="s">
        <v>20</v>
      </c>
      <c r="N86" t="s">
        <v>22</v>
      </c>
      <c r="O86" t="s">
        <v>24</v>
      </c>
    </row>
    <row r="87" spans="1:15">
      <c r="A87" t="s">
        <v>30</v>
      </c>
      <c r="D87">
        <v>1.6</v>
      </c>
      <c r="E87" t="s">
        <v>62</v>
      </c>
      <c r="F87" t="s">
        <v>19</v>
      </c>
      <c r="G87" t="s">
        <v>23</v>
      </c>
      <c r="H87" t="s">
        <v>25</v>
      </c>
      <c r="I87" t="s">
        <v>18</v>
      </c>
      <c r="J87" t="s">
        <v>22</v>
      </c>
      <c r="K87" t="s">
        <v>19</v>
      </c>
      <c r="L87" t="s">
        <v>23</v>
      </c>
      <c r="M87" t="s">
        <v>25</v>
      </c>
      <c r="N87" t="s">
        <v>18</v>
      </c>
      <c r="O87" t="s">
        <v>22</v>
      </c>
    </row>
    <row r="88" spans="1:15">
      <c r="A88" t="s">
        <v>30</v>
      </c>
      <c r="D88">
        <v>1.5</v>
      </c>
      <c r="E88" t="s">
        <v>62</v>
      </c>
      <c r="F88" t="s">
        <v>26</v>
      </c>
      <c r="G88" t="s">
        <v>21</v>
      </c>
      <c r="H88" t="s">
        <v>20</v>
      </c>
      <c r="I88" t="s">
        <v>19</v>
      </c>
      <c r="J88" t="s">
        <v>23</v>
      </c>
      <c r="K88" t="s">
        <v>26</v>
      </c>
      <c r="M88" t="s">
        <v>20</v>
      </c>
      <c r="O88" t="s">
        <v>23</v>
      </c>
    </row>
    <row r="89" spans="1:15">
      <c r="A89" t="s">
        <v>30</v>
      </c>
      <c r="D89">
        <v>1.4</v>
      </c>
      <c r="E89" t="s">
        <v>62</v>
      </c>
      <c r="F89" t="s">
        <v>25</v>
      </c>
      <c r="G89" t="s">
        <v>24</v>
      </c>
      <c r="H89" t="s">
        <v>23</v>
      </c>
      <c r="I89" t="s">
        <v>22</v>
      </c>
      <c r="J89" t="s">
        <v>26</v>
      </c>
      <c r="K89" t="s">
        <v>25</v>
      </c>
      <c r="L89" t="s">
        <v>24</v>
      </c>
      <c r="M89" t="s">
        <v>23</v>
      </c>
      <c r="N89" t="s">
        <v>22</v>
      </c>
      <c r="O89" t="s">
        <v>26</v>
      </c>
    </row>
    <row r="90" spans="1:15">
      <c r="A90" t="s">
        <v>30</v>
      </c>
      <c r="D90">
        <v>1.3</v>
      </c>
      <c r="E90" t="s">
        <v>62</v>
      </c>
      <c r="F90" t="s">
        <v>26</v>
      </c>
      <c r="G90" t="s">
        <v>22</v>
      </c>
      <c r="H90" t="s">
        <v>20</v>
      </c>
      <c r="I90" t="s">
        <v>24</v>
      </c>
      <c r="J90" t="s">
        <v>23</v>
      </c>
      <c r="K90" t="s">
        <v>26</v>
      </c>
      <c r="L90" t="s">
        <v>22</v>
      </c>
      <c r="M90" t="s">
        <v>20</v>
      </c>
      <c r="N90" t="s">
        <v>24</v>
      </c>
      <c r="O90" t="s">
        <v>23</v>
      </c>
    </row>
    <row r="91" spans="1:15">
      <c r="A91" t="s">
        <v>30</v>
      </c>
      <c r="D91">
        <v>1.2</v>
      </c>
      <c r="E91" t="s">
        <v>62</v>
      </c>
      <c r="F91" t="s">
        <v>18</v>
      </c>
      <c r="G91" t="s">
        <v>21</v>
      </c>
      <c r="H91" t="s">
        <v>17</v>
      </c>
      <c r="I91" t="s">
        <v>20</v>
      </c>
      <c r="J91" t="s">
        <v>23</v>
      </c>
    </row>
    <row r="92" spans="1:15">
      <c r="A92" t="s">
        <v>30</v>
      </c>
      <c r="D92">
        <v>1.1000000000000001</v>
      </c>
      <c r="E92" t="s">
        <v>62</v>
      </c>
      <c r="F92" t="s">
        <v>17</v>
      </c>
      <c r="G92" t="s">
        <v>24</v>
      </c>
      <c r="H92" t="s">
        <v>23</v>
      </c>
      <c r="I92" t="s">
        <v>18</v>
      </c>
      <c r="J92" t="s">
        <v>25</v>
      </c>
    </row>
    <row r="93" spans="1:15">
      <c r="A93" t="s">
        <v>30</v>
      </c>
      <c r="D93">
        <v>1</v>
      </c>
      <c r="E93" t="s">
        <v>62</v>
      </c>
      <c r="F93" t="s">
        <v>25</v>
      </c>
      <c r="G93" t="s">
        <v>20</v>
      </c>
      <c r="H93" t="s">
        <v>23</v>
      </c>
      <c r="I93" t="s">
        <v>22</v>
      </c>
      <c r="J93" t="s">
        <v>26</v>
      </c>
    </row>
    <row r="94" spans="1:15">
      <c r="A94" t="s">
        <v>30</v>
      </c>
      <c r="D94">
        <v>0.90000000000000102</v>
      </c>
      <c r="E94" t="s">
        <v>62</v>
      </c>
      <c r="F94" t="s">
        <v>19</v>
      </c>
      <c r="G94" t="s">
        <v>26</v>
      </c>
      <c r="H94" t="s">
        <v>17</v>
      </c>
      <c r="I94" t="s">
        <v>21</v>
      </c>
      <c r="J94" t="s">
        <v>24</v>
      </c>
    </row>
    <row r="95" spans="1:15">
      <c r="A95" t="s">
        <v>30</v>
      </c>
      <c r="D95">
        <v>0.80000000000000104</v>
      </c>
      <c r="E95" t="s">
        <v>62</v>
      </c>
      <c r="F95" t="s">
        <v>22</v>
      </c>
      <c r="G95" t="s">
        <v>23</v>
      </c>
      <c r="H95" t="s">
        <v>25</v>
      </c>
      <c r="I95" t="s">
        <v>21</v>
      </c>
      <c r="J95" t="s">
        <v>24</v>
      </c>
    </row>
    <row r="96" spans="1:15">
      <c r="A96" t="s">
        <v>30</v>
      </c>
      <c r="D96">
        <v>0.70000000000000095</v>
      </c>
      <c r="E96" t="s">
        <v>62</v>
      </c>
      <c r="F96" t="s">
        <v>17</v>
      </c>
      <c r="G96" t="s">
        <v>22</v>
      </c>
      <c r="H96" t="s">
        <v>21</v>
      </c>
      <c r="I96" t="s">
        <v>26</v>
      </c>
      <c r="J96" t="s">
        <v>19</v>
      </c>
    </row>
    <row r="97" spans="1:15">
      <c r="A97" t="s">
        <v>30</v>
      </c>
      <c r="D97">
        <v>0.6</v>
      </c>
      <c r="E97" t="s">
        <v>62</v>
      </c>
      <c r="F97" t="s">
        <v>21</v>
      </c>
      <c r="G97" t="s">
        <v>23</v>
      </c>
      <c r="H97" t="s">
        <v>25</v>
      </c>
      <c r="I97" t="s">
        <v>24</v>
      </c>
      <c r="J97" t="s">
        <v>18</v>
      </c>
    </row>
    <row r="98" spans="1:15">
      <c r="A98" t="s">
        <v>30</v>
      </c>
      <c r="D98">
        <v>0.5</v>
      </c>
      <c r="E98" t="s">
        <v>62</v>
      </c>
      <c r="F98" t="s">
        <v>23</v>
      </c>
      <c r="G98" t="s">
        <v>21</v>
      </c>
      <c r="H98" t="s">
        <v>18</v>
      </c>
      <c r="I98" t="s">
        <v>25</v>
      </c>
      <c r="J98" t="s">
        <v>17</v>
      </c>
    </row>
    <row r="99" spans="1:15">
      <c r="A99" t="s">
        <v>30</v>
      </c>
      <c r="D99">
        <v>0.4</v>
      </c>
      <c r="E99" t="s">
        <v>62</v>
      </c>
      <c r="F99" t="s">
        <v>22</v>
      </c>
      <c r="G99" t="s">
        <v>20</v>
      </c>
      <c r="H99" t="s">
        <v>17</v>
      </c>
      <c r="I99" t="s">
        <v>24</v>
      </c>
      <c r="J99" t="s">
        <v>25</v>
      </c>
    </row>
    <row r="100" spans="1:15">
      <c r="A100" t="s">
        <v>30</v>
      </c>
      <c r="D100">
        <v>0.3</v>
      </c>
      <c r="E100" t="s">
        <v>62</v>
      </c>
      <c r="F100" t="s">
        <v>25</v>
      </c>
      <c r="G100" t="s">
        <v>26</v>
      </c>
      <c r="H100" t="s">
        <v>20</v>
      </c>
      <c r="I100" t="s">
        <v>24</v>
      </c>
      <c r="J100" t="s">
        <v>21</v>
      </c>
    </row>
    <row r="101" spans="1:15">
      <c r="A101" t="s">
        <v>30</v>
      </c>
      <c r="D101">
        <v>0.2</v>
      </c>
      <c r="E101" t="s">
        <v>62</v>
      </c>
      <c r="F101" t="s">
        <v>19</v>
      </c>
      <c r="G101" t="s">
        <v>24</v>
      </c>
      <c r="H101" t="s">
        <v>23</v>
      </c>
      <c r="I101" t="s">
        <v>25</v>
      </c>
      <c r="J101" t="s">
        <v>22</v>
      </c>
    </row>
    <row r="102" spans="1:15">
      <c r="A102" t="s">
        <v>30</v>
      </c>
      <c r="D102">
        <v>9.9999999999999895E-2</v>
      </c>
      <c r="E102" t="s">
        <v>62</v>
      </c>
      <c r="F102" t="s">
        <v>17</v>
      </c>
      <c r="G102" t="s">
        <v>21</v>
      </c>
      <c r="H102" t="s">
        <v>18</v>
      </c>
      <c r="I102" t="s">
        <v>22</v>
      </c>
      <c r="J102" t="s">
        <v>19</v>
      </c>
    </row>
    <row r="103" spans="1:15">
      <c r="A103" t="s">
        <v>30</v>
      </c>
      <c r="D103">
        <v>0</v>
      </c>
      <c r="E103" t="s">
        <v>62</v>
      </c>
      <c r="F103" t="s">
        <v>17</v>
      </c>
      <c r="G103" t="s">
        <v>26</v>
      </c>
      <c r="H103" t="s">
        <v>24</v>
      </c>
      <c r="I103" t="s">
        <v>18</v>
      </c>
      <c r="J103" t="s">
        <v>22</v>
      </c>
    </row>
    <row r="104" spans="1:15">
      <c r="A104" t="s">
        <v>30</v>
      </c>
      <c r="D104">
        <v>-0.1</v>
      </c>
      <c r="E104" t="s">
        <v>62</v>
      </c>
      <c r="F104" t="s">
        <v>19</v>
      </c>
      <c r="G104" t="s">
        <v>18</v>
      </c>
      <c r="H104" t="s">
        <v>22</v>
      </c>
      <c r="I104" t="s">
        <v>23</v>
      </c>
      <c r="J104" t="s">
        <v>26</v>
      </c>
    </row>
    <row r="105" spans="1:15">
      <c r="A105" t="s">
        <v>30</v>
      </c>
      <c r="D105">
        <v>-0.2</v>
      </c>
      <c r="E105" t="s">
        <v>62</v>
      </c>
      <c r="F105" t="s">
        <v>22</v>
      </c>
      <c r="G105" t="s">
        <v>21</v>
      </c>
      <c r="H105" t="s">
        <v>18</v>
      </c>
      <c r="I105" t="s">
        <v>23</v>
      </c>
      <c r="J105" t="s">
        <v>25</v>
      </c>
    </row>
    <row r="106" spans="1:15">
      <c r="A106" t="s">
        <v>30</v>
      </c>
      <c r="D106">
        <v>-0.3</v>
      </c>
      <c r="E106" t="s">
        <v>62</v>
      </c>
      <c r="F106" t="s">
        <v>26</v>
      </c>
      <c r="G106" t="s">
        <v>17</v>
      </c>
      <c r="H106" t="s">
        <v>22</v>
      </c>
      <c r="I106" t="s">
        <v>21</v>
      </c>
      <c r="J106" t="s">
        <v>19</v>
      </c>
    </row>
    <row r="107" spans="1:15">
      <c r="A107" t="s">
        <v>31</v>
      </c>
      <c r="D107">
        <v>1.7</v>
      </c>
      <c r="E107" t="s">
        <v>62</v>
      </c>
      <c r="F107" t="s">
        <v>26</v>
      </c>
      <c r="G107" t="s">
        <v>17</v>
      </c>
      <c r="H107" t="s">
        <v>23</v>
      </c>
      <c r="I107" t="s">
        <v>20</v>
      </c>
      <c r="J107" t="s">
        <v>24</v>
      </c>
      <c r="K107" t="s">
        <v>26</v>
      </c>
      <c r="L107" t="s">
        <v>17</v>
      </c>
      <c r="M107" t="s">
        <v>23</v>
      </c>
      <c r="N107" t="s">
        <v>20</v>
      </c>
      <c r="O107" t="s">
        <v>24</v>
      </c>
    </row>
    <row r="108" spans="1:15">
      <c r="A108" t="s">
        <v>31</v>
      </c>
      <c r="D108">
        <v>1.6</v>
      </c>
      <c r="E108" t="s">
        <v>62</v>
      </c>
      <c r="F108" t="s">
        <v>23</v>
      </c>
      <c r="G108" t="s">
        <v>21</v>
      </c>
      <c r="H108" t="s">
        <v>25</v>
      </c>
      <c r="I108" t="s">
        <v>22</v>
      </c>
      <c r="J108" t="s">
        <v>26</v>
      </c>
    </row>
    <row r="109" spans="1:15">
      <c r="A109" t="s">
        <v>31</v>
      </c>
      <c r="D109">
        <v>1.5</v>
      </c>
      <c r="E109" t="s">
        <v>62</v>
      </c>
      <c r="F109" t="s">
        <v>20</v>
      </c>
      <c r="G109" t="s">
        <v>17</v>
      </c>
      <c r="H109" t="s">
        <v>22</v>
      </c>
      <c r="I109" t="s">
        <v>18</v>
      </c>
      <c r="J109" t="s">
        <v>19</v>
      </c>
    </row>
    <row r="110" spans="1:15">
      <c r="A110" t="s">
        <v>31</v>
      </c>
      <c r="D110">
        <v>1.4</v>
      </c>
      <c r="E110" t="s">
        <v>62</v>
      </c>
      <c r="F110" t="s">
        <v>19</v>
      </c>
      <c r="G110" t="s">
        <v>18</v>
      </c>
      <c r="H110" t="s">
        <v>22</v>
      </c>
      <c r="I110" t="s">
        <v>17</v>
      </c>
      <c r="J110" t="s">
        <v>26</v>
      </c>
    </row>
    <row r="111" spans="1:15">
      <c r="A111" t="s">
        <v>31</v>
      </c>
      <c r="D111">
        <v>1.3</v>
      </c>
      <c r="E111" t="s">
        <v>62</v>
      </c>
      <c r="F111" t="s">
        <v>20</v>
      </c>
      <c r="G111" t="s">
        <v>25</v>
      </c>
      <c r="H111" t="s">
        <v>18</v>
      </c>
      <c r="I111" t="s">
        <v>17</v>
      </c>
      <c r="J111" t="s">
        <v>23</v>
      </c>
    </row>
    <row r="112" spans="1:15">
      <c r="A112" t="s">
        <v>31</v>
      </c>
      <c r="D112">
        <v>1.2</v>
      </c>
      <c r="E112" t="s">
        <v>62</v>
      </c>
      <c r="F112" t="s">
        <v>22</v>
      </c>
      <c r="G112" t="s">
        <v>18</v>
      </c>
      <c r="H112" t="s">
        <v>25</v>
      </c>
      <c r="I112" t="s">
        <v>17</v>
      </c>
      <c r="J112" t="s">
        <v>21</v>
      </c>
    </row>
    <row r="113" spans="1:15">
      <c r="A113" t="s">
        <v>31</v>
      </c>
      <c r="D113">
        <v>1.1000000000000001</v>
      </c>
      <c r="E113" t="s">
        <v>62</v>
      </c>
      <c r="F113" t="s">
        <v>19</v>
      </c>
      <c r="G113" t="s">
        <v>21</v>
      </c>
      <c r="H113" t="s">
        <v>24</v>
      </c>
      <c r="I113" t="s">
        <v>17</v>
      </c>
      <c r="J113" t="s">
        <v>26</v>
      </c>
    </row>
    <row r="114" spans="1:15">
      <c r="A114" t="s">
        <v>31</v>
      </c>
      <c r="D114">
        <v>1</v>
      </c>
      <c r="E114" t="s">
        <v>62</v>
      </c>
      <c r="F114" t="s">
        <v>23</v>
      </c>
      <c r="G114" t="s">
        <v>21</v>
      </c>
      <c r="H114" t="s">
        <v>17</v>
      </c>
      <c r="I114" t="s">
        <v>18</v>
      </c>
      <c r="J114" t="s">
        <v>25</v>
      </c>
    </row>
    <row r="115" spans="1:15">
      <c r="A115" t="s">
        <v>31</v>
      </c>
      <c r="D115">
        <v>0.90000000000000102</v>
      </c>
      <c r="E115" t="s">
        <v>62</v>
      </c>
      <c r="F115" t="s">
        <v>18</v>
      </c>
      <c r="G115" t="s">
        <v>19</v>
      </c>
      <c r="H115" t="s">
        <v>20</v>
      </c>
      <c r="I115" t="s">
        <v>26</v>
      </c>
      <c r="J115" t="s">
        <v>17</v>
      </c>
    </row>
    <row r="116" spans="1:15">
      <c r="A116" t="s">
        <v>31</v>
      </c>
      <c r="D116">
        <v>0.80000000000000104</v>
      </c>
      <c r="E116" t="s">
        <v>62</v>
      </c>
      <c r="F116" t="s">
        <v>24</v>
      </c>
      <c r="G116" t="s">
        <v>18</v>
      </c>
      <c r="H116" t="s">
        <v>17</v>
      </c>
      <c r="I116" t="s">
        <v>21</v>
      </c>
      <c r="J116" t="s">
        <v>23</v>
      </c>
    </row>
    <row r="117" spans="1:15">
      <c r="A117" t="s">
        <v>31</v>
      </c>
      <c r="D117">
        <v>0.70000000000000095</v>
      </c>
      <c r="E117" t="s">
        <v>62</v>
      </c>
      <c r="F117" t="s">
        <v>26</v>
      </c>
      <c r="G117" t="s">
        <v>23</v>
      </c>
      <c r="H117" t="s">
        <v>25</v>
      </c>
      <c r="I117" t="s">
        <v>17</v>
      </c>
      <c r="J117" t="s">
        <v>19</v>
      </c>
    </row>
    <row r="118" spans="1:15">
      <c r="A118" t="s">
        <v>31</v>
      </c>
      <c r="D118">
        <v>0.6</v>
      </c>
      <c r="E118" t="s">
        <v>62</v>
      </c>
      <c r="F118" t="s">
        <v>21</v>
      </c>
      <c r="G118" t="s">
        <v>22</v>
      </c>
      <c r="H118" t="s">
        <v>26</v>
      </c>
      <c r="I118" t="s">
        <v>17</v>
      </c>
      <c r="J118" t="s">
        <v>20</v>
      </c>
    </row>
    <row r="119" spans="1:15">
      <c r="A119" t="s">
        <v>31</v>
      </c>
      <c r="D119">
        <v>0.5</v>
      </c>
      <c r="E119" t="s">
        <v>62</v>
      </c>
      <c r="F119" t="s">
        <v>18</v>
      </c>
      <c r="G119" t="s">
        <v>25</v>
      </c>
      <c r="H119" t="s">
        <v>22</v>
      </c>
      <c r="I119" t="s">
        <v>23</v>
      </c>
      <c r="J119" t="s">
        <v>26</v>
      </c>
    </row>
    <row r="120" spans="1:15">
      <c r="A120" t="s">
        <v>31</v>
      </c>
      <c r="D120">
        <v>0.4</v>
      </c>
      <c r="E120" t="s">
        <v>62</v>
      </c>
      <c r="F120" t="s">
        <v>17</v>
      </c>
      <c r="G120" t="s">
        <v>25</v>
      </c>
      <c r="H120" t="s">
        <v>24</v>
      </c>
      <c r="I120" t="s">
        <v>26</v>
      </c>
      <c r="J120" t="s">
        <v>22</v>
      </c>
    </row>
    <row r="121" spans="1:15">
      <c r="A121" t="s">
        <v>31</v>
      </c>
      <c r="D121">
        <v>0.3</v>
      </c>
      <c r="E121" t="s">
        <v>62</v>
      </c>
      <c r="F121" t="s">
        <v>24</v>
      </c>
      <c r="G121" t="s">
        <v>23</v>
      </c>
      <c r="H121" t="s">
        <v>25</v>
      </c>
      <c r="I121" t="s">
        <v>21</v>
      </c>
      <c r="J121" t="s">
        <v>26</v>
      </c>
    </row>
    <row r="122" spans="1:15">
      <c r="A122" t="s">
        <v>31</v>
      </c>
      <c r="D122">
        <v>0.2</v>
      </c>
      <c r="E122" t="s">
        <v>62</v>
      </c>
      <c r="F122" t="s">
        <v>18</v>
      </c>
      <c r="G122" t="s">
        <v>20</v>
      </c>
      <c r="H122" t="s">
        <v>23</v>
      </c>
      <c r="I122" t="s">
        <v>26</v>
      </c>
      <c r="J122" t="s">
        <v>25</v>
      </c>
    </row>
    <row r="123" spans="1:15">
      <c r="A123" t="s">
        <v>31</v>
      </c>
      <c r="D123">
        <v>9.9999999999999895E-2</v>
      </c>
      <c r="E123" t="s">
        <v>62</v>
      </c>
      <c r="F123" t="s">
        <v>20</v>
      </c>
      <c r="G123" t="s">
        <v>25</v>
      </c>
      <c r="H123" t="s">
        <v>22</v>
      </c>
      <c r="I123" t="s">
        <v>19</v>
      </c>
      <c r="J123" t="s">
        <v>26</v>
      </c>
    </row>
    <row r="124" spans="1:15">
      <c r="A124" t="s">
        <v>31</v>
      </c>
      <c r="D124">
        <v>0</v>
      </c>
      <c r="E124" t="s">
        <v>62</v>
      </c>
      <c r="F124" t="s">
        <v>25</v>
      </c>
      <c r="G124" t="s">
        <v>22</v>
      </c>
      <c r="H124" t="s">
        <v>18</v>
      </c>
      <c r="I124" t="s">
        <v>24</v>
      </c>
      <c r="J124" t="s">
        <v>23</v>
      </c>
    </row>
    <row r="125" spans="1:15">
      <c r="A125" t="s">
        <v>31</v>
      </c>
      <c r="D125">
        <v>-0.1</v>
      </c>
      <c r="E125" t="s">
        <v>62</v>
      </c>
      <c r="F125" t="s">
        <v>24</v>
      </c>
      <c r="G125" t="s">
        <v>22</v>
      </c>
      <c r="H125" t="s">
        <v>21</v>
      </c>
      <c r="I125" t="s">
        <v>19</v>
      </c>
      <c r="J125" t="s">
        <v>18</v>
      </c>
    </row>
    <row r="126" spans="1:15">
      <c r="A126" t="s">
        <v>31</v>
      </c>
      <c r="D126">
        <v>-0.2</v>
      </c>
      <c r="E126" t="s">
        <v>62</v>
      </c>
      <c r="F126" t="s">
        <v>25</v>
      </c>
      <c r="G126" t="s">
        <v>17</v>
      </c>
      <c r="H126" t="s">
        <v>18</v>
      </c>
      <c r="I126" t="s">
        <v>24</v>
      </c>
      <c r="J126" t="s">
        <v>21</v>
      </c>
    </row>
    <row r="127" spans="1:15">
      <c r="A127" t="s">
        <v>31</v>
      </c>
      <c r="D127">
        <v>-0.3</v>
      </c>
      <c r="E127" t="s">
        <v>62</v>
      </c>
      <c r="F127" t="s">
        <v>18</v>
      </c>
      <c r="G127" t="s">
        <v>22</v>
      </c>
      <c r="H127" t="s">
        <v>23</v>
      </c>
      <c r="I127" t="s">
        <v>25</v>
      </c>
      <c r="J127" t="s">
        <v>17</v>
      </c>
    </row>
    <row r="128" spans="1:15">
      <c r="A128" t="s">
        <v>52</v>
      </c>
      <c r="D128">
        <v>1.7</v>
      </c>
      <c r="E128" t="s">
        <v>62</v>
      </c>
      <c r="F128" t="s">
        <v>24</v>
      </c>
      <c r="G128" t="s">
        <v>18</v>
      </c>
      <c r="H128" t="s">
        <v>22</v>
      </c>
      <c r="I128" t="s">
        <v>21</v>
      </c>
      <c r="J128" t="s">
        <v>26</v>
      </c>
      <c r="K128" t="s">
        <v>24</v>
      </c>
      <c r="L128" t="s">
        <v>18</v>
      </c>
      <c r="M128" t="s">
        <v>22</v>
      </c>
      <c r="N128" t="s">
        <v>21</v>
      </c>
      <c r="O128" t="s">
        <v>26</v>
      </c>
    </row>
    <row r="129" spans="1:15">
      <c r="A129" t="s">
        <v>52</v>
      </c>
      <c r="D129">
        <v>1.6</v>
      </c>
      <c r="E129" t="s">
        <v>62</v>
      </c>
      <c r="F129" t="s">
        <v>25</v>
      </c>
      <c r="G129" t="s">
        <v>21</v>
      </c>
      <c r="H129" t="s">
        <v>19</v>
      </c>
      <c r="I129" t="s">
        <v>23</v>
      </c>
      <c r="J129" t="s">
        <v>24</v>
      </c>
      <c r="K129" t="s">
        <v>25</v>
      </c>
      <c r="L129" t="s">
        <v>19</v>
      </c>
      <c r="M129" t="s">
        <v>21</v>
      </c>
      <c r="N129" t="s">
        <v>23</v>
      </c>
      <c r="O129" t="s">
        <v>24</v>
      </c>
    </row>
    <row r="130" spans="1:15">
      <c r="A130" t="s">
        <v>52</v>
      </c>
      <c r="D130">
        <v>1.5</v>
      </c>
      <c r="E130" t="s">
        <v>62</v>
      </c>
      <c r="F130" t="s">
        <v>18</v>
      </c>
      <c r="G130" t="s">
        <v>26</v>
      </c>
      <c r="H130" t="s">
        <v>22</v>
      </c>
      <c r="I130" t="s">
        <v>23</v>
      </c>
      <c r="J130" t="s">
        <v>19</v>
      </c>
      <c r="K130" t="s">
        <v>18</v>
      </c>
      <c r="L130" t="s">
        <v>26</v>
      </c>
      <c r="M130" t="s">
        <v>22</v>
      </c>
      <c r="N130" t="s">
        <v>23</v>
      </c>
      <c r="O130" t="s">
        <v>19</v>
      </c>
    </row>
    <row r="131" spans="1:15">
      <c r="A131" t="s">
        <v>52</v>
      </c>
      <c r="D131">
        <v>1.4</v>
      </c>
      <c r="E131" t="s">
        <v>62</v>
      </c>
      <c r="F131" t="s">
        <v>17</v>
      </c>
      <c r="G131" t="s">
        <v>19</v>
      </c>
      <c r="H131" t="s">
        <v>24</v>
      </c>
      <c r="I131" t="s">
        <v>18</v>
      </c>
      <c r="J131" t="s">
        <v>23</v>
      </c>
      <c r="K131" t="s">
        <v>17</v>
      </c>
      <c r="L131" t="s">
        <v>19</v>
      </c>
      <c r="M131" t="s">
        <v>24</v>
      </c>
      <c r="N131" t="s">
        <v>18</v>
      </c>
      <c r="O131" t="s">
        <v>23</v>
      </c>
    </row>
    <row r="132" spans="1:15">
      <c r="A132" t="s">
        <v>52</v>
      </c>
      <c r="D132">
        <v>1.3</v>
      </c>
      <c r="E132" t="s">
        <v>62</v>
      </c>
      <c r="F132" t="s">
        <v>17</v>
      </c>
      <c r="G132" t="s">
        <v>19</v>
      </c>
      <c r="H132" t="s">
        <v>26</v>
      </c>
      <c r="I132" t="s">
        <v>23</v>
      </c>
      <c r="J132" t="s">
        <v>20</v>
      </c>
      <c r="K132" t="s">
        <v>17</v>
      </c>
      <c r="L132" t="s">
        <v>19</v>
      </c>
      <c r="M132" t="s">
        <v>26</v>
      </c>
      <c r="N132" t="s">
        <v>23</v>
      </c>
      <c r="O132" t="s">
        <v>20</v>
      </c>
    </row>
    <row r="133" spans="1:15">
      <c r="A133" t="s">
        <v>52</v>
      </c>
      <c r="D133">
        <v>1.2</v>
      </c>
      <c r="E133" t="s">
        <v>62</v>
      </c>
      <c r="F133" t="s">
        <v>24</v>
      </c>
      <c r="G133" t="s">
        <v>26</v>
      </c>
      <c r="H133" t="s">
        <v>25</v>
      </c>
      <c r="I133" t="s">
        <v>22</v>
      </c>
      <c r="J133" t="s">
        <v>20</v>
      </c>
      <c r="K133" t="s">
        <v>24</v>
      </c>
      <c r="L133" t="s">
        <v>26</v>
      </c>
      <c r="M133" t="s">
        <v>25</v>
      </c>
      <c r="N133" t="s">
        <v>22</v>
      </c>
      <c r="O133" t="s">
        <v>20</v>
      </c>
    </row>
    <row r="134" spans="1:15">
      <c r="A134" t="s">
        <v>52</v>
      </c>
      <c r="D134">
        <v>1.1000000000000001</v>
      </c>
      <c r="E134" t="s">
        <v>62</v>
      </c>
      <c r="F134" t="s">
        <v>17</v>
      </c>
      <c r="G134" t="s">
        <v>26</v>
      </c>
      <c r="H134" t="s">
        <v>21</v>
      </c>
      <c r="I134" t="s">
        <v>20</v>
      </c>
      <c r="J134" t="s">
        <v>22</v>
      </c>
      <c r="K134" t="s">
        <v>17</v>
      </c>
      <c r="L134" t="s">
        <v>26</v>
      </c>
      <c r="M134" t="s">
        <v>21</v>
      </c>
      <c r="N134" t="s">
        <v>20</v>
      </c>
      <c r="O134" t="s">
        <v>22</v>
      </c>
    </row>
    <row r="135" spans="1:15">
      <c r="A135" t="s">
        <v>52</v>
      </c>
      <c r="D135">
        <v>1</v>
      </c>
      <c r="E135" t="s">
        <v>62</v>
      </c>
      <c r="F135" t="s">
        <v>19</v>
      </c>
      <c r="G135" t="s">
        <v>21</v>
      </c>
      <c r="H135" t="s">
        <v>23</v>
      </c>
      <c r="I135" t="s">
        <v>17</v>
      </c>
      <c r="J135" t="s">
        <v>24</v>
      </c>
      <c r="K135" t="s">
        <v>19</v>
      </c>
      <c r="L135" t="s">
        <v>21</v>
      </c>
      <c r="M135" t="s">
        <v>23</v>
      </c>
      <c r="N135" t="s">
        <v>17</v>
      </c>
      <c r="O135" t="s">
        <v>24</v>
      </c>
    </row>
    <row r="136" spans="1:15">
      <c r="A136" t="s">
        <v>52</v>
      </c>
      <c r="D136">
        <v>0.90000000000000102</v>
      </c>
      <c r="E136" t="s">
        <v>62</v>
      </c>
      <c r="F136" t="s">
        <v>26</v>
      </c>
      <c r="G136" t="s">
        <v>19</v>
      </c>
      <c r="H136" t="s">
        <v>21</v>
      </c>
      <c r="I136" t="s">
        <v>25</v>
      </c>
      <c r="J136" t="s">
        <v>20</v>
      </c>
      <c r="K136" t="s">
        <v>26</v>
      </c>
      <c r="L136" t="s">
        <v>19</v>
      </c>
      <c r="M136" t="s">
        <v>21</v>
      </c>
      <c r="N136" t="s">
        <v>25</v>
      </c>
      <c r="O136" t="s">
        <v>20</v>
      </c>
    </row>
    <row r="137" spans="1:15">
      <c r="A137" t="s">
        <v>52</v>
      </c>
      <c r="D137">
        <v>0.80000000000000104</v>
      </c>
      <c r="E137" t="s">
        <v>62</v>
      </c>
      <c r="F137" t="s">
        <v>26</v>
      </c>
      <c r="G137" t="s">
        <v>21</v>
      </c>
      <c r="H137" t="s">
        <v>19</v>
      </c>
      <c r="I137" t="s">
        <v>24</v>
      </c>
      <c r="J137" t="s">
        <v>22</v>
      </c>
      <c r="K137" t="s">
        <v>26</v>
      </c>
      <c r="L137" t="s">
        <v>21</v>
      </c>
      <c r="M137" t="s">
        <v>19</v>
      </c>
      <c r="N137" t="s">
        <v>24</v>
      </c>
      <c r="O137" t="s">
        <v>22</v>
      </c>
    </row>
    <row r="138" spans="1:15">
      <c r="A138" t="s">
        <v>52</v>
      </c>
      <c r="D138">
        <v>0.70000000000000095</v>
      </c>
      <c r="E138" t="s">
        <v>62</v>
      </c>
      <c r="F138" t="s">
        <v>25</v>
      </c>
      <c r="G138" t="s">
        <v>26</v>
      </c>
      <c r="H138" t="s">
        <v>20</v>
      </c>
      <c r="I138" t="s">
        <v>17</v>
      </c>
      <c r="J138" t="s">
        <v>24</v>
      </c>
      <c r="K138" t="s">
        <v>25</v>
      </c>
      <c r="L138" t="s">
        <v>26</v>
      </c>
      <c r="M138" t="s">
        <v>20</v>
      </c>
      <c r="N138" t="s">
        <v>17</v>
      </c>
      <c r="O138" t="s">
        <v>24</v>
      </c>
    </row>
    <row r="139" spans="1:15">
      <c r="A139" t="s">
        <v>52</v>
      </c>
      <c r="D139">
        <v>0.6</v>
      </c>
      <c r="E139" t="s">
        <v>62</v>
      </c>
      <c r="F139" t="s">
        <v>23</v>
      </c>
      <c r="G139" t="s">
        <v>20</v>
      </c>
      <c r="H139" t="s">
        <v>21</v>
      </c>
      <c r="I139" t="s">
        <v>18</v>
      </c>
      <c r="J139" t="s">
        <v>19</v>
      </c>
      <c r="K139" t="s">
        <v>23</v>
      </c>
      <c r="L139" t="s">
        <v>20</v>
      </c>
      <c r="M139" t="s">
        <v>21</v>
      </c>
      <c r="N139" t="s">
        <v>18</v>
      </c>
      <c r="O139" t="s">
        <v>19</v>
      </c>
    </row>
    <row r="140" spans="1:15">
      <c r="A140" t="s">
        <v>52</v>
      </c>
      <c r="D140">
        <v>0.5</v>
      </c>
      <c r="E140" t="s">
        <v>62</v>
      </c>
      <c r="F140" t="s">
        <v>22</v>
      </c>
      <c r="G140" t="s">
        <v>20</v>
      </c>
      <c r="H140" t="s">
        <v>25</v>
      </c>
      <c r="I140" t="s">
        <v>26</v>
      </c>
      <c r="J140" t="s">
        <v>24</v>
      </c>
      <c r="K140" t="s">
        <v>22</v>
      </c>
      <c r="L140" t="s">
        <v>20</v>
      </c>
      <c r="M140" t="s">
        <v>25</v>
      </c>
      <c r="N140" t="s">
        <v>26</v>
      </c>
      <c r="O140" t="s">
        <v>24</v>
      </c>
    </row>
    <row r="141" spans="1:15">
      <c r="A141" t="s">
        <v>52</v>
      </c>
      <c r="D141">
        <v>0.4</v>
      </c>
      <c r="E141" t="s">
        <v>62</v>
      </c>
      <c r="F141" t="s">
        <v>21</v>
      </c>
      <c r="G141" t="s">
        <v>22</v>
      </c>
      <c r="H141" t="s">
        <v>20</v>
      </c>
      <c r="I141" t="s">
        <v>17</v>
      </c>
      <c r="J141" t="s">
        <v>25</v>
      </c>
      <c r="K141" t="s">
        <v>21</v>
      </c>
      <c r="L141" t="s">
        <v>22</v>
      </c>
      <c r="M141" t="s">
        <v>20</v>
      </c>
      <c r="N141" t="s">
        <v>17</v>
      </c>
      <c r="O141" t="s">
        <v>25</v>
      </c>
    </row>
    <row r="142" spans="1:15">
      <c r="A142" t="s">
        <v>52</v>
      </c>
      <c r="D142">
        <v>0.3</v>
      </c>
      <c r="E142" t="s">
        <v>62</v>
      </c>
      <c r="F142" t="s">
        <v>26</v>
      </c>
      <c r="G142" t="s">
        <v>25</v>
      </c>
      <c r="H142" t="s">
        <v>20</v>
      </c>
      <c r="I142" t="s">
        <v>19</v>
      </c>
      <c r="J142" t="s">
        <v>17</v>
      </c>
      <c r="K142" t="s">
        <v>26</v>
      </c>
      <c r="L142" t="s">
        <v>25</v>
      </c>
      <c r="M142" t="s">
        <v>20</v>
      </c>
      <c r="N142" t="s">
        <v>19</v>
      </c>
      <c r="O142" t="s">
        <v>17</v>
      </c>
    </row>
    <row r="143" spans="1:15">
      <c r="A143" t="s">
        <v>52</v>
      </c>
      <c r="D143">
        <v>0.2</v>
      </c>
      <c r="E143" t="s">
        <v>62</v>
      </c>
      <c r="F143" t="s">
        <v>19</v>
      </c>
      <c r="G143" t="s">
        <v>23</v>
      </c>
      <c r="H143" t="s">
        <v>22</v>
      </c>
      <c r="I143" t="s">
        <v>21</v>
      </c>
      <c r="J143" t="s">
        <v>26</v>
      </c>
    </row>
    <row r="144" spans="1:15">
      <c r="A144" t="s">
        <v>52</v>
      </c>
      <c r="D144">
        <v>9.9999999999999895E-2</v>
      </c>
      <c r="E144" t="s">
        <v>62</v>
      </c>
      <c r="F144" t="s">
        <v>18</v>
      </c>
      <c r="G144" t="s">
        <v>21</v>
      </c>
      <c r="H144" t="s">
        <v>23</v>
      </c>
      <c r="I144" t="s">
        <v>26</v>
      </c>
      <c r="J144" t="s">
        <v>25</v>
      </c>
    </row>
    <row r="145" spans="1:15">
      <c r="A145" t="s">
        <v>52</v>
      </c>
      <c r="D145">
        <v>0</v>
      </c>
      <c r="E145" t="s">
        <v>62</v>
      </c>
      <c r="F145" t="s">
        <v>26</v>
      </c>
      <c r="G145" t="s">
        <v>17</v>
      </c>
      <c r="H145" t="s">
        <v>24</v>
      </c>
      <c r="I145" t="s">
        <v>21</v>
      </c>
      <c r="J145" t="s">
        <v>18</v>
      </c>
    </row>
    <row r="146" spans="1:15">
      <c r="A146" t="s">
        <v>52</v>
      </c>
      <c r="D146">
        <v>-0.1</v>
      </c>
      <c r="E146" t="s">
        <v>62</v>
      </c>
      <c r="F146" t="s">
        <v>23</v>
      </c>
      <c r="G146" t="s">
        <v>26</v>
      </c>
      <c r="H146" t="s">
        <v>18</v>
      </c>
      <c r="I146" t="s">
        <v>19</v>
      </c>
      <c r="J146" t="s">
        <v>20</v>
      </c>
    </row>
    <row r="147" spans="1:15">
      <c r="A147" t="s">
        <v>52</v>
      </c>
      <c r="D147">
        <v>-0.2</v>
      </c>
      <c r="E147" t="s">
        <v>62</v>
      </c>
      <c r="F147" t="s">
        <v>22</v>
      </c>
      <c r="G147" t="s">
        <v>21</v>
      </c>
      <c r="H147" t="s">
        <v>25</v>
      </c>
      <c r="I147" t="s">
        <v>23</v>
      </c>
      <c r="J147" t="s">
        <v>19</v>
      </c>
    </row>
    <row r="148" spans="1:15">
      <c r="A148" t="s">
        <v>52</v>
      </c>
      <c r="D148">
        <v>-0.3</v>
      </c>
      <c r="E148" t="s">
        <v>62</v>
      </c>
      <c r="F148" t="s">
        <v>23</v>
      </c>
      <c r="G148" t="s">
        <v>24</v>
      </c>
      <c r="H148" t="s">
        <v>18</v>
      </c>
      <c r="I148" t="s">
        <v>19</v>
      </c>
      <c r="J148" t="s">
        <v>22</v>
      </c>
    </row>
    <row r="149" spans="1:15">
      <c r="A149" t="s">
        <v>53</v>
      </c>
      <c r="D149">
        <v>1.7</v>
      </c>
      <c r="E149" t="s">
        <v>62</v>
      </c>
      <c r="F149" t="s">
        <v>19</v>
      </c>
      <c r="G149" t="s">
        <v>17</v>
      </c>
      <c r="H149" t="s">
        <v>20</v>
      </c>
      <c r="I149" t="s">
        <v>21</v>
      </c>
      <c r="J149" t="s">
        <v>23</v>
      </c>
      <c r="K149" t="s">
        <v>19</v>
      </c>
      <c r="L149" t="s">
        <v>17</v>
      </c>
      <c r="M149" t="s">
        <v>20</v>
      </c>
      <c r="N149" t="s">
        <v>21</v>
      </c>
      <c r="O149" t="s">
        <v>23</v>
      </c>
    </row>
    <row r="150" spans="1:15">
      <c r="A150" t="s">
        <v>53</v>
      </c>
      <c r="D150">
        <v>1.6</v>
      </c>
      <c r="E150" t="s">
        <v>62</v>
      </c>
      <c r="F150" t="s">
        <v>21</v>
      </c>
      <c r="G150" t="s">
        <v>17</v>
      </c>
      <c r="H150" t="s">
        <v>18</v>
      </c>
      <c r="I150" t="s">
        <v>22</v>
      </c>
      <c r="J150" t="s">
        <v>23</v>
      </c>
      <c r="K150" t="s">
        <v>21</v>
      </c>
      <c r="L150" t="s">
        <v>17</v>
      </c>
      <c r="M150" t="s">
        <v>18</v>
      </c>
      <c r="N150" t="s">
        <v>22</v>
      </c>
      <c r="O150" t="s">
        <v>23</v>
      </c>
    </row>
    <row r="151" spans="1:15">
      <c r="A151" t="s">
        <v>53</v>
      </c>
      <c r="D151">
        <v>1.5</v>
      </c>
      <c r="E151" t="s">
        <v>62</v>
      </c>
      <c r="F151" t="s">
        <v>26</v>
      </c>
      <c r="G151" t="s">
        <v>23</v>
      </c>
      <c r="H151" t="s">
        <v>22</v>
      </c>
      <c r="I151" t="s">
        <v>25</v>
      </c>
      <c r="J151" t="s">
        <v>21</v>
      </c>
      <c r="K151" t="s">
        <v>26</v>
      </c>
      <c r="L151" t="s">
        <v>23</v>
      </c>
      <c r="M151" t="s">
        <v>22</v>
      </c>
      <c r="N151" t="s">
        <v>25</v>
      </c>
      <c r="O151" t="s">
        <v>21</v>
      </c>
    </row>
    <row r="152" spans="1:15">
      <c r="A152" t="s">
        <v>53</v>
      </c>
      <c r="D152">
        <v>1.4</v>
      </c>
      <c r="E152" t="s">
        <v>62</v>
      </c>
      <c r="F152" t="s">
        <v>20</v>
      </c>
      <c r="G152" t="s">
        <v>22</v>
      </c>
      <c r="H152" t="s">
        <v>23</v>
      </c>
      <c r="I152" t="s">
        <v>17</v>
      </c>
      <c r="J152" t="s">
        <v>26</v>
      </c>
      <c r="K152" t="s">
        <v>20</v>
      </c>
      <c r="L152" t="s">
        <v>22</v>
      </c>
      <c r="M152" t="s">
        <v>23</v>
      </c>
      <c r="N152" t="s">
        <v>17</v>
      </c>
      <c r="O152" t="s">
        <v>26</v>
      </c>
    </row>
    <row r="153" spans="1:15">
      <c r="A153" t="s">
        <v>53</v>
      </c>
      <c r="D153">
        <v>1.3</v>
      </c>
      <c r="E153" t="s">
        <v>62</v>
      </c>
      <c r="F153" t="s">
        <v>25</v>
      </c>
      <c r="G153" t="s">
        <v>20</v>
      </c>
      <c r="H153" t="s">
        <v>17</v>
      </c>
      <c r="I153" t="s">
        <v>21</v>
      </c>
      <c r="J153" t="s">
        <v>24</v>
      </c>
      <c r="K153" t="s">
        <v>25</v>
      </c>
      <c r="L153" t="s">
        <v>20</v>
      </c>
      <c r="M153" t="s">
        <v>17</v>
      </c>
      <c r="N153" t="s">
        <v>21</v>
      </c>
      <c r="O153" t="s">
        <v>24</v>
      </c>
    </row>
    <row r="154" spans="1:15">
      <c r="A154" t="s">
        <v>53</v>
      </c>
      <c r="D154">
        <v>1.2</v>
      </c>
      <c r="E154" t="s">
        <v>62</v>
      </c>
      <c r="F154" t="s">
        <v>18</v>
      </c>
      <c r="G154" t="s">
        <v>17</v>
      </c>
      <c r="H154" t="s">
        <v>24</v>
      </c>
      <c r="I154" t="s">
        <v>23</v>
      </c>
      <c r="J154" t="s">
        <v>26</v>
      </c>
      <c r="K154" t="s">
        <v>18</v>
      </c>
      <c r="L154" t="s">
        <v>17</v>
      </c>
      <c r="M154" t="s">
        <v>24</v>
      </c>
      <c r="N154" t="s">
        <v>23</v>
      </c>
      <c r="O154" t="s">
        <v>26</v>
      </c>
    </row>
    <row r="155" spans="1:15">
      <c r="A155" t="s">
        <v>53</v>
      </c>
      <c r="D155">
        <v>1.1000000000000001</v>
      </c>
      <c r="E155" t="s">
        <v>62</v>
      </c>
      <c r="F155" t="s">
        <v>24</v>
      </c>
      <c r="G155" t="s">
        <v>21</v>
      </c>
      <c r="H155" t="s">
        <v>19</v>
      </c>
      <c r="I155" t="s">
        <v>25</v>
      </c>
      <c r="J155" t="s">
        <v>26</v>
      </c>
      <c r="K155" t="s">
        <v>24</v>
      </c>
      <c r="L155" t="s">
        <v>21</v>
      </c>
      <c r="M155" t="s">
        <v>19</v>
      </c>
      <c r="N155" t="s">
        <v>25</v>
      </c>
      <c r="O155" t="s">
        <v>26</v>
      </c>
    </row>
    <row r="156" spans="1:15">
      <c r="A156" t="s">
        <v>53</v>
      </c>
      <c r="D156">
        <v>1</v>
      </c>
      <c r="E156" t="s">
        <v>62</v>
      </c>
      <c r="F156" t="s">
        <v>23</v>
      </c>
      <c r="G156" t="s">
        <v>26</v>
      </c>
      <c r="H156" t="s">
        <v>17</v>
      </c>
      <c r="I156" t="s">
        <v>22</v>
      </c>
      <c r="J156" t="s">
        <v>24</v>
      </c>
      <c r="K156" t="s">
        <v>23</v>
      </c>
      <c r="L156" t="s">
        <v>26</v>
      </c>
      <c r="M156" t="s">
        <v>17</v>
      </c>
      <c r="N156" t="s">
        <v>22</v>
      </c>
      <c r="O156" t="s">
        <v>24</v>
      </c>
    </row>
    <row r="157" spans="1:15">
      <c r="A157" t="s">
        <v>53</v>
      </c>
      <c r="D157">
        <v>0.90000000000000102</v>
      </c>
      <c r="E157" t="s">
        <v>62</v>
      </c>
      <c r="F157" t="s">
        <v>19</v>
      </c>
      <c r="G157" t="s">
        <v>17</v>
      </c>
      <c r="H157" t="s">
        <v>20</v>
      </c>
      <c r="I157" t="s">
        <v>24</v>
      </c>
      <c r="J157" t="s">
        <v>21</v>
      </c>
      <c r="K157" t="s">
        <v>19</v>
      </c>
      <c r="L157" t="s">
        <v>17</v>
      </c>
      <c r="M157" t="s">
        <v>20</v>
      </c>
      <c r="N157" t="s">
        <v>24</v>
      </c>
      <c r="O157" t="s">
        <v>21</v>
      </c>
    </row>
    <row r="158" spans="1:15">
      <c r="A158" t="s">
        <v>53</v>
      </c>
      <c r="D158">
        <v>0.80000000000000104</v>
      </c>
      <c r="E158" t="s">
        <v>62</v>
      </c>
      <c r="F158" t="s">
        <v>18</v>
      </c>
      <c r="G158" t="s">
        <v>24</v>
      </c>
      <c r="H158" t="s">
        <v>25</v>
      </c>
      <c r="I158" t="s">
        <v>20</v>
      </c>
      <c r="J158" t="s">
        <v>19</v>
      </c>
      <c r="K158" t="s">
        <v>18</v>
      </c>
      <c r="L158" t="s">
        <v>24</v>
      </c>
      <c r="M158" t="s">
        <v>25</v>
      </c>
      <c r="N158" t="s">
        <v>20</v>
      </c>
      <c r="O158" t="s">
        <v>19</v>
      </c>
    </row>
    <row r="159" spans="1:15">
      <c r="A159" t="s">
        <v>53</v>
      </c>
      <c r="D159">
        <v>0.70000000000000095</v>
      </c>
      <c r="E159" t="s">
        <v>62</v>
      </c>
      <c r="F159" t="s">
        <v>20</v>
      </c>
      <c r="G159" t="s">
        <v>26</v>
      </c>
      <c r="H159" t="s">
        <v>22</v>
      </c>
      <c r="I159" t="s">
        <v>17</v>
      </c>
      <c r="J159" t="s">
        <v>25</v>
      </c>
      <c r="K159" t="s">
        <v>20</v>
      </c>
      <c r="L159" t="s">
        <v>26</v>
      </c>
      <c r="M159" t="s">
        <v>22</v>
      </c>
      <c r="N159" t="s">
        <v>17</v>
      </c>
      <c r="O159" t="s">
        <v>25</v>
      </c>
    </row>
    <row r="160" spans="1:15">
      <c r="A160" t="s">
        <v>53</v>
      </c>
      <c r="D160">
        <v>0.6</v>
      </c>
      <c r="E160" t="s">
        <v>62</v>
      </c>
      <c r="F160" t="s">
        <v>22</v>
      </c>
      <c r="G160" t="s">
        <v>25</v>
      </c>
      <c r="H160" t="s">
        <v>24</v>
      </c>
      <c r="I160" t="s">
        <v>26</v>
      </c>
      <c r="J160" t="s">
        <v>17</v>
      </c>
      <c r="L160" t="s">
        <v>25</v>
      </c>
      <c r="M160" t="s">
        <v>24</v>
      </c>
      <c r="N160" t="s">
        <v>26</v>
      </c>
      <c r="O160" t="s">
        <v>17</v>
      </c>
    </row>
    <row r="161" spans="1:15">
      <c r="A161" t="s">
        <v>53</v>
      </c>
      <c r="D161">
        <v>0.5</v>
      </c>
      <c r="E161" t="s">
        <v>62</v>
      </c>
      <c r="F161" t="s">
        <v>26</v>
      </c>
      <c r="G161" t="s">
        <v>21</v>
      </c>
      <c r="H161" t="s">
        <v>20</v>
      </c>
      <c r="I161" t="s">
        <v>25</v>
      </c>
      <c r="J161" t="s">
        <v>22</v>
      </c>
      <c r="K161" t="s">
        <v>26</v>
      </c>
      <c r="M161" t="s">
        <v>20</v>
      </c>
      <c r="N161" t="s">
        <v>25</v>
      </c>
    </row>
    <row r="162" spans="1:15">
      <c r="A162" t="s">
        <v>53</v>
      </c>
      <c r="D162">
        <v>0.4</v>
      </c>
      <c r="E162" t="s">
        <v>62</v>
      </c>
      <c r="F162" t="s">
        <v>21</v>
      </c>
      <c r="G162" t="s">
        <v>18</v>
      </c>
      <c r="H162" t="s">
        <v>23</v>
      </c>
      <c r="I162" t="s">
        <v>20</v>
      </c>
      <c r="J162" t="s">
        <v>24</v>
      </c>
    </row>
    <row r="163" spans="1:15">
      <c r="A163" t="s">
        <v>53</v>
      </c>
      <c r="D163">
        <v>0.3</v>
      </c>
      <c r="E163" t="s">
        <v>62</v>
      </c>
      <c r="F163" t="s">
        <v>22</v>
      </c>
      <c r="G163" t="s">
        <v>17</v>
      </c>
      <c r="H163" t="s">
        <v>19</v>
      </c>
      <c r="I163" t="s">
        <v>18</v>
      </c>
      <c r="J163" t="s">
        <v>26</v>
      </c>
    </row>
    <row r="164" spans="1:15">
      <c r="A164" t="s">
        <v>53</v>
      </c>
      <c r="D164">
        <v>0.2</v>
      </c>
      <c r="E164" t="s">
        <v>62</v>
      </c>
      <c r="F164" t="s">
        <v>22</v>
      </c>
      <c r="G164" t="s">
        <v>26</v>
      </c>
      <c r="H164" t="s">
        <v>18</v>
      </c>
      <c r="I164" t="s">
        <v>23</v>
      </c>
      <c r="J164" t="s">
        <v>20</v>
      </c>
    </row>
    <row r="165" spans="1:15">
      <c r="A165" t="s">
        <v>53</v>
      </c>
      <c r="D165">
        <v>9.9999999999999895E-2</v>
      </c>
      <c r="E165" t="s">
        <v>62</v>
      </c>
      <c r="F165" t="s">
        <v>24</v>
      </c>
      <c r="G165" t="s">
        <v>26</v>
      </c>
      <c r="H165" t="s">
        <v>18</v>
      </c>
      <c r="I165" t="s">
        <v>21</v>
      </c>
      <c r="J165" t="s">
        <v>23</v>
      </c>
    </row>
    <row r="166" spans="1:15">
      <c r="A166" t="s">
        <v>53</v>
      </c>
      <c r="D166">
        <v>0</v>
      </c>
      <c r="E166" t="s">
        <v>62</v>
      </c>
      <c r="F166" t="s">
        <v>22</v>
      </c>
      <c r="G166" t="s">
        <v>24</v>
      </c>
      <c r="H166" t="s">
        <v>25</v>
      </c>
      <c r="I166" t="s">
        <v>20</v>
      </c>
      <c r="J166" t="s">
        <v>23</v>
      </c>
    </row>
    <row r="167" spans="1:15">
      <c r="A167" t="s">
        <v>53</v>
      </c>
      <c r="D167">
        <v>-0.1</v>
      </c>
      <c r="E167" t="s">
        <v>62</v>
      </c>
      <c r="F167" t="s">
        <v>20</v>
      </c>
      <c r="G167" t="s">
        <v>21</v>
      </c>
      <c r="H167" t="s">
        <v>19</v>
      </c>
      <c r="I167" t="s">
        <v>17</v>
      </c>
      <c r="J167" t="s">
        <v>24</v>
      </c>
    </row>
    <row r="168" spans="1:15">
      <c r="A168" t="s">
        <v>53</v>
      </c>
      <c r="D168">
        <v>-0.2</v>
      </c>
      <c r="E168" t="s">
        <v>62</v>
      </c>
      <c r="F168" t="s">
        <v>26</v>
      </c>
      <c r="G168" t="s">
        <v>25</v>
      </c>
      <c r="H168" t="s">
        <v>20</v>
      </c>
      <c r="I168" t="s">
        <v>19</v>
      </c>
      <c r="J168" t="s">
        <v>17</v>
      </c>
    </row>
    <row r="169" spans="1:15">
      <c r="A169" t="s">
        <v>53</v>
      </c>
      <c r="D169">
        <v>-0.3</v>
      </c>
      <c r="E169" t="s">
        <v>62</v>
      </c>
      <c r="F169" t="s">
        <v>18</v>
      </c>
      <c r="G169" t="s">
        <v>26</v>
      </c>
      <c r="H169" t="s">
        <v>20</v>
      </c>
      <c r="I169" t="s">
        <v>23</v>
      </c>
      <c r="J169" t="s">
        <v>25</v>
      </c>
    </row>
    <row r="170" spans="1:15">
      <c r="A170" t="s">
        <v>54</v>
      </c>
      <c r="D170">
        <v>1.7</v>
      </c>
      <c r="E170" t="s">
        <v>62</v>
      </c>
      <c r="F170" t="s">
        <v>18</v>
      </c>
      <c r="G170" t="s">
        <v>22</v>
      </c>
      <c r="H170" t="s">
        <v>17</v>
      </c>
      <c r="I170" t="s">
        <v>19</v>
      </c>
      <c r="J170" t="s">
        <v>21</v>
      </c>
      <c r="K170" t="s">
        <v>18</v>
      </c>
      <c r="L170" t="s">
        <v>22</v>
      </c>
      <c r="M170" t="s">
        <v>17</v>
      </c>
      <c r="N170" t="s">
        <v>19</v>
      </c>
      <c r="O170" t="s">
        <v>21</v>
      </c>
    </row>
    <row r="171" spans="1:15">
      <c r="A171" t="s">
        <v>54</v>
      </c>
      <c r="D171">
        <v>1.6</v>
      </c>
      <c r="E171" t="s">
        <v>62</v>
      </c>
      <c r="F171" t="s">
        <v>20</v>
      </c>
      <c r="G171" t="s">
        <v>22</v>
      </c>
      <c r="H171" t="s">
        <v>19</v>
      </c>
      <c r="I171" t="s">
        <v>23</v>
      </c>
      <c r="J171" t="s">
        <v>26</v>
      </c>
      <c r="K171" t="s">
        <v>20</v>
      </c>
      <c r="L171" t="s">
        <v>22</v>
      </c>
      <c r="M171" t="s">
        <v>19</v>
      </c>
      <c r="N171" t="s">
        <v>23</v>
      </c>
      <c r="O171" t="s">
        <v>26</v>
      </c>
    </row>
    <row r="172" spans="1:15">
      <c r="A172" t="s">
        <v>54</v>
      </c>
      <c r="D172">
        <v>1.5</v>
      </c>
      <c r="E172" t="s">
        <v>62</v>
      </c>
      <c r="F172" t="s">
        <v>18</v>
      </c>
      <c r="G172" t="s">
        <v>25</v>
      </c>
      <c r="H172" t="s">
        <v>19</v>
      </c>
      <c r="I172" t="s">
        <v>21</v>
      </c>
      <c r="J172" t="s">
        <v>26</v>
      </c>
      <c r="K172" t="s">
        <v>18</v>
      </c>
      <c r="L172" t="s">
        <v>25</v>
      </c>
      <c r="M172" t="s">
        <v>19</v>
      </c>
      <c r="N172" t="s">
        <v>21</v>
      </c>
      <c r="O172" t="s">
        <v>26</v>
      </c>
    </row>
    <row r="173" spans="1:15">
      <c r="A173" t="s">
        <v>54</v>
      </c>
      <c r="D173">
        <v>1.4</v>
      </c>
      <c r="E173" t="s">
        <v>62</v>
      </c>
      <c r="F173" t="s">
        <v>17</v>
      </c>
      <c r="G173" t="s">
        <v>20</v>
      </c>
      <c r="H173" t="s">
        <v>23</v>
      </c>
      <c r="I173" t="s">
        <v>24</v>
      </c>
      <c r="J173" t="s">
        <v>22</v>
      </c>
      <c r="K173" t="s">
        <v>17</v>
      </c>
      <c r="L173" t="s">
        <v>20</v>
      </c>
      <c r="M173" t="s">
        <v>23</v>
      </c>
      <c r="N173" t="s">
        <v>24</v>
      </c>
      <c r="O173" t="s">
        <v>22</v>
      </c>
    </row>
    <row r="174" spans="1:15">
      <c r="A174" t="s">
        <v>54</v>
      </c>
      <c r="D174">
        <v>1.3</v>
      </c>
      <c r="E174" t="s">
        <v>62</v>
      </c>
      <c r="F174" t="s">
        <v>24</v>
      </c>
      <c r="G174" t="s">
        <v>26</v>
      </c>
      <c r="H174" t="s">
        <v>18</v>
      </c>
      <c r="I174" t="s">
        <v>20</v>
      </c>
      <c r="J174" t="s">
        <v>17</v>
      </c>
      <c r="K174" t="s">
        <v>24</v>
      </c>
      <c r="L174" t="s">
        <v>26</v>
      </c>
      <c r="M174" t="s">
        <v>18</v>
      </c>
      <c r="N174" t="s">
        <v>20</v>
      </c>
      <c r="O174" t="s">
        <v>17</v>
      </c>
    </row>
    <row r="175" spans="1:15">
      <c r="A175" t="s">
        <v>54</v>
      </c>
      <c r="D175">
        <v>1.2</v>
      </c>
      <c r="E175" t="s">
        <v>62</v>
      </c>
      <c r="F175" t="s">
        <v>18</v>
      </c>
      <c r="G175" t="s">
        <v>22</v>
      </c>
      <c r="H175" t="s">
        <v>20</v>
      </c>
      <c r="I175" t="s">
        <v>23</v>
      </c>
      <c r="J175" t="s">
        <v>26</v>
      </c>
      <c r="K175" t="s">
        <v>18</v>
      </c>
      <c r="L175" t="s">
        <v>22</v>
      </c>
      <c r="M175" t="s">
        <v>20</v>
      </c>
      <c r="N175" t="s">
        <v>23</v>
      </c>
      <c r="O175" t="s">
        <v>26</v>
      </c>
    </row>
    <row r="176" spans="1:15">
      <c r="A176" t="s">
        <v>54</v>
      </c>
      <c r="D176">
        <v>1.1000000000000001</v>
      </c>
      <c r="E176" t="s">
        <v>62</v>
      </c>
      <c r="F176" t="s">
        <v>19</v>
      </c>
      <c r="G176" t="s">
        <v>20</v>
      </c>
      <c r="H176" t="s">
        <v>24</v>
      </c>
      <c r="I176" t="s">
        <v>18</v>
      </c>
      <c r="J176" t="s">
        <v>25</v>
      </c>
      <c r="K176" t="s">
        <v>19</v>
      </c>
      <c r="L176" t="s">
        <v>20</v>
      </c>
      <c r="M176" t="s">
        <v>24</v>
      </c>
      <c r="N176" t="s">
        <v>18</v>
      </c>
      <c r="O176" t="s">
        <v>25</v>
      </c>
    </row>
    <row r="177" spans="1:15">
      <c r="A177" t="s">
        <v>54</v>
      </c>
      <c r="D177">
        <v>1</v>
      </c>
      <c r="E177" t="s">
        <v>62</v>
      </c>
      <c r="F177" t="s">
        <v>23</v>
      </c>
      <c r="G177" t="s">
        <v>19</v>
      </c>
      <c r="H177" t="s">
        <v>24</v>
      </c>
      <c r="I177" t="s">
        <v>20</v>
      </c>
      <c r="J177" t="s">
        <v>25</v>
      </c>
      <c r="K177" t="s">
        <v>23</v>
      </c>
      <c r="L177" t="s">
        <v>19</v>
      </c>
      <c r="M177" t="s">
        <v>24</v>
      </c>
      <c r="N177" t="s">
        <v>20</v>
      </c>
      <c r="O177" t="s">
        <v>25</v>
      </c>
    </row>
    <row r="178" spans="1:15">
      <c r="A178" t="s">
        <v>54</v>
      </c>
      <c r="D178">
        <v>0.90000000000000102</v>
      </c>
      <c r="E178" t="s">
        <v>62</v>
      </c>
      <c r="F178" t="s">
        <v>25</v>
      </c>
      <c r="G178" t="s">
        <v>21</v>
      </c>
      <c r="H178" t="s">
        <v>26</v>
      </c>
      <c r="I178" t="s">
        <v>17</v>
      </c>
      <c r="J178" t="s">
        <v>20</v>
      </c>
    </row>
    <row r="179" spans="1:15">
      <c r="A179" t="s">
        <v>54</v>
      </c>
      <c r="D179">
        <v>0.80000000000000104</v>
      </c>
      <c r="E179" t="s">
        <v>62</v>
      </c>
      <c r="F179" t="s">
        <v>25</v>
      </c>
      <c r="G179" t="s">
        <v>19</v>
      </c>
      <c r="H179" t="s">
        <v>20</v>
      </c>
      <c r="I179" t="s">
        <v>17</v>
      </c>
      <c r="J179" t="s">
        <v>22</v>
      </c>
    </row>
    <row r="180" spans="1:15">
      <c r="A180" t="s">
        <v>54</v>
      </c>
      <c r="D180">
        <v>0.70000000000000095</v>
      </c>
      <c r="E180" t="s">
        <v>62</v>
      </c>
      <c r="F180" t="s">
        <v>22</v>
      </c>
      <c r="G180" t="s">
        <v>23</v>
      </c>
      <c r="H180" t="s">
        <v>19</v>
      </c>
      <c r="I180" t="s">
        <v>25</v>
      </c>
      <c r="J180" t="s">
        <v>21</v>
      </c>
    </row>
    <row r="181" spans="1:15">
      <c r="A181" t="s">
        <v>54</v>
      </c>
      <c r="D181">
        <v>0.6</v>
      </c>
      <c r="E181" t="s">
        <v>62</v>
      </c>
      <c r="F181" t="s">
        <v>19</v>
      </c>
      <c r="G181" t="s">
        <v>25</v>
      </c>
      <c r="H181" t="s">
        <v>24</v>
      </c>
      <c r="I181" t="s">
        <v>26</v>
      </c>
      <c r="J181" t="s">
        <v>22</v>
      </c>
    </row>
    <row r="182" spans="1:15">
      <c r="A182" t="s">
        <v>54</v>
      </c>
      <c r="D182">
        <v>0.5</v>
      </c>
      <c r="E182" t="s">
        <v>62</v>
      </c>
      <c r="F182" t="s">
        <v>21</v>
      </c>
      <c r="G182" t="s">
        <v>22</v>
      </c>
      <c r="H182" t="s">
        <v>23</v>
      </c>
      <c r="I182" t="s">
        <v>17</v>
      </c>
      <c r="J182" t="s">
        <v>25</v>
      </c>
    </row>
    <row r="183" spans="1:15">
      <c r="A183" t="s">
        <v>54</v>
      </c>
      <c r="D183">
        <v>0.4</v>
      </c>
      <c r="E183" t="s">
        <v>62</v>
      </c>
      <c r="F183" t="s">
        <v>26</v>
      </c>
      <c r="G183" t="s">
        <v>25</v>
      </c>
      <c r="H183" t="s">
        <v>22</v>
      </c>
      <c r="I183" t="s">
        <v>19</v>
      </c>
      <c r="J183" t="s">
        <v>23</v>
      </c>
    </row>
    <row r="184" spans="1:15">
      <c r="A184" t="s">
        <v>54</v>
      </c>
      <c r="D184">
        <v>0.3</v>
      </c>
      <c r="E184" t="s">
        <v>62</v>
      </c>
      <c r="F184" t="s">
        <v>17</v>
      </c>
      <c r="G184" t="s">
        <v>19</v>
      </c>
      <c r="H184" t="s">
        <v>26</v>
      </c>
      <c r="I184" t="s">
        <v>23</v>
      </c>
      <c r="J184" t="s">
        <v>18</v>
      </c>
    </row>
    <row r="185" spans="1:15">
      <c r="A185" t="s">
        <v>54</v>
      </c>
      <c r="D185">
        <v>0.2</v>
      </c>
      <c r="E185" t="s">
        <v>62</v>
      </c>
      <c r="F185" t="s">
        <v>23</v>
      </c>
      <c r="G185" t="s">
        <v>26</v>
      </c>
      <c r="H185" t="s">
        <v>24</v>
      </c>
      <c r="I185" t="s">
        <v>25</v>
      </c>
      <c r="J185" t="s">
        <v>18</v>
      </c>
    </row>
    <row r="186" spans="1:15">
      <c r="A186" t="s">
        <v>54</v>
      </c>
      <c r="D186">
        <v>9.9999999999999895E-2</v>
      </c>
      <c r="E186" t="s">
        <v>62</v>
      </c>
      <c r="F186" t="s">
        <v>26</v>
      </c>
      <c r="G186" t="s">
        <v>25</v>
      </c>
      <c r="H186" t="s">
        <v>20</v>
      </c>
      <c r="I186" t="s">
        <v>17</v>
      </c>
      <c r="J186" t="s">
        <v>19</v>
      </c>
    </row>
    <row r="187" spans="1:15">
      <c r="A187" t="s">
        <v>54</v>
      </c>
      <c r="D187">
        <v>0</v>
      </c>
      <c r="E187" t="s">
        <v>62</v>
      </c>
      <c r="F187" t="s">
        <v>24</v>
      </c>
      <c r="G187" t="s">
        <v>19</v>
      </c>
      <c r="H187" t="s">
        <v>26</v>
      </c>
      <c r="I187" t="s">
        <v>18</v>
      </c>
      <c r="J187" t="s">
        <v>23</v>
      </c>
    </row>
    <row r="188" spans="1:15">
      <c r="A188" t="s">
        <v>54</v>
      </c>
      <c r="D188">
        <v>-0.1</v>
      </c>
      <c r="E188" t="s">
        <v>62</v>
      </c>
      <c r="F188" t="s">
        <v>24</v>
      </c>
      <c r="G188" t="s">
        <v>26</v>
      </c>
      <c r="H188" t="s">
        <v>21</v>
      </c>
      <c r="I188" t="s">
        <v>22</v>
      </c>
      <c r="J188" t="s">
        <v>17</v>
      </c>
    </row>
    <row r="189" spans="1:15">
      <c r="A189" t="s">
        <v>54</v>
      </c>
      <c r="D189">
        <v>-0.2</v>
      </c>
      <c r="E189" t="s">
        <v>62</v>
      </c>
      <c r="F189" t="s">
        <v>17</v>
      </c>
      <c r="G189" t="s">
        <v>25</v>
      </c>
      <c r="H189" t="s">
        <v>23</v>
      </c>
      <c r="I189" t="s">
        <v>22</v>
      </c>
      <c r="J189" t="s">
        <v>21</v>
      </c>
    </row>
    <row r="190" spans="1:15">
      <c r="A190" t="s">
        <v>54</v>
      </c>
      <c r="D190">
        <v>-0.3</v>
      </c>
      <c r="E190" t="s">
        <v>62</v>
      </c>
      <c r="F190" t="s">
        <v>24</v>
      </c>
      <c r="G190" t="s">
        <v>21</v>
      </c>
      <c r="H190" t="s">
        <v>23</v>
      </c>
      <c r="I190" t="s">
        <v>19</v>
      </c>
      <c r="J190" t="s">
        <v>22</v>
      </c>
    </row>
    <row r="191" spans="1:15">
      <c r="A191" t="s">
        <v>55</v>
      </c>
      <c r="D191">
        <v>1.7</v>
      </c>
      <c r="E191" t="s">
        <v>62</v>
      </c>
      <c r="F191" t="s">
        <v>20</v>
      </c>
      <c r="G191" t="s">
        <v>25</v>
      </c>
      <c r="H191" t="s">
        <v>24</v>
      </c>
      <c r="I191" t="s">
        <v>17</v>
      </c>
      <c r="J191" t="s">
        <v>21</v>
      </c>
      <c r="K191" t="s">
        <v>20</v>
      </c>
      <c r="L191" t="s">
        <v>25</v>
      </c>
      <c r="M191" t="s">
        <v>24</v>
      </c>
      <c r="N191" t="s">
        <v>17</v>
      </c>
      <c r="O191" t="s">
        <v>21</v>
      </c>
    </row>
    <row r="192" spans="1:15">
      <c r="A192" t="s">
        <v>55</v>
      </c>
      <c r="D192">
        <v>1.6</v>
      </c>
      <c r="E192" t="s">
        <v>62</v>
      </c>
      <c r="F192" t="s">
        <v>18</v>
      </c>
      <c r="G192" t="s">
        <v>17</v>
      </c>
      <c r="H192" t="s">
        <v>21</v>
      </c>
      <c r="I192" t="s">
        <v>25</v>
      </c>
      <c r="J192" t="s">
        <v>19</v>
      </c>
      <c r="K192" t="s">
        <v>18</v>
      </c>
      <c r="L192" t="s">
        <v>17</v>
      </c>
      <c r="M192" t="s">
        <v>21</v>
      </c>
      <c r="N192" t="s">
        <v>25</v>
      </c>
      <c r="O192" t="s">
        <v>19</v>
      </c>
    </row>
    <row r="193" spans="1:15">
      <c r="A193" t="s">
        <v>55</v>
      </c>
      <c r="D193">
        <v>1.5</v>
      </c>
      <c r="E193" t="s">
        <v>62</v>
      </c>
      <c r="F193" t="s">
        <v>22</v>
      </c>
      <c r="G193" t="s">
        <v>19</v>
      </c>
      <c r="H193" t="s">
        <v>24</v>
      </c>
      <c r="I193" t="s">
        <v>20</v>
      </c>
      <c r="J193" t="s">
        <v>23</v>
      </c>
      <c r="K193" t="s">
        <v>22</v>
      </c>
      <c r="L193" t="s">
        <v>19</v>
      </c>
      <c r="M193" t="s">
        <v>24</v>
      </c>
      <c r="N193" t="s">
        <v>20</v>
      </c>
      <c r="O193" t="s">
        <v>23</v>
      </c>
    </row>
    <row r="194" spans="1:15">
      <c r="A194" t="s">
        <v>55</v>
      </c>
      <c r="D194">
        <v>1.4</v>
      </c>
      <c r="E194" t="s">
        <v>62</v>
      </c>
      <c r="F194" t="s">
        <v>22</v>
      </c>
      <c r="G194" t="s">
        <v>21</v>
      </c>
      <c r="H194" t="s">
        <v>17</v>
      </c>
      <c r="I194" t="s">
        <v>24</v>
      </c>
      <c r="J194" t="s">
        <v>23</v>
      </c>
      <c r="K194" t="s">
        <v>22</v>
      </c>
      <c r="L194" t="s">
        <v>21</v>
      </c>
      <c r="M194" t="s">
        <v>17</v>
      </c>
      <c r="N194" t="s">
        <v>24</v>
      </c>
      <c r="O194" t="s">
        <v>23</v>
      </c>
    </row>
    <row r="195" spans="1:15">
      <c r="A195" t="s">
        <v>55</v>
      </c>
      <c r="D195">
        <v>1.3</v>
      </c>
      <c r="E195" t="s">
        <v>62</v>
      </c>
      <c r="F195" t="s">
        <v>18</v>
      </c>
      <c r="G195" t="s">
        <v>24</v>
      </c>
      <c r="H195" t="s">
        <v>25</v>
      </c>
      <c r="I195" t="s">
        <v>21</v>
      </c>
      <c r="J195" t="s">
        <v>17</v>
      </c>
      <c r="K195" t="s">
        <v>18</v>
      </c>
      <c r="L195" t="s">
        <v>24</v>
      </c>
      <c r="M195" t="s">
        <v>25</v>
      </c>
      <c r="N195" t="s">
        <v>21</v>
      </c>
      <c r="O195" t="s">
        <v>17</v>
      </c>
    </row>
    <row r="196" spans="1:15">
      <c r="A196" t="s">
        <v>55</v>
      </c>
      <c r="D196">
        <v>1.2</v>
      </c>
      <c r="E196" t="s">
        <v>62</v>
      </c>
      <c r="F196" t="s">
        <v>26</v>
      </c>
      <c r="G196" t="s">
        <v>18</v>
      </c>
      <c r="H196" t="s">
        <v>25</v>
      </c>
      <c r="I196" t="s">
        <v>17</v>
      </c>
      <c r="J196" t="s">
        <v>22</v>
      </c>
    </row>
    <row r="197" spans="1:15">
      <c r="A197" t="s">
        <v>55</v>
      </c>
      <c r="D197">
        <v>1.1000000000000001</v>
      </c>
      <c r="E197" t="s">
        <v>62</v>
      </c>
      <c r="F197" t="s">
        <v>19</v>
      </c>
      <c r="G197" t="s">
        <v>20</v>
      </c>
      <c r="H197" t="s">
        <v>26</v>
      </c>
      <c r="I197" t="s">
        <v>17</v>
      </c>
      <c r="J197" t="s">
        <v>23</v>
      </c>
    </row>
    <row r="198" spans="1:15">
      <c r="A198" t="s">
        <v>55</v>
      </c>
      <c r="D198">
        <v>1</v>
      </c>
      <c r="E198" t="s">
        <v>62</v>
      </c>
      <c r="F198" t="s">
        <v>18</v>
      </c>
      <c r="G198" t="s">
        <v>20</v>
      </c>
      <c r="H198" t="s">
        <v>26</v>
      </c>
      <c r="I198" t="s">
        <v>19</v>
      </c>
      <c r="J198" t="s">
        <v>17</v>
      </c>
    </row>
    <row r="199" spans="1:15">
      <c r="A199" t="s">
        <v>55</v>
      </c>
      <c r="D199">
        <v>0.90000000000000102</v>
      </c>
      <c r="E199" t="s">
        <v>62</v>
      </c>
      <c r="F199" t="s">
        <v>25</v>
      </c>
      <c r="G199" t="s">
        <v>17</v>
      </c>
      <c r="H199" t="s">
        <v>26</v>
      </c>
      <c r="I199" t="s">
        <v>21</v>
      </c>
      <c r="J199" t="s">
        <v>20</v>
      </c>
    </row>
    <row r="200" spans="1:15">
      <c r="A200" t="s">
        <v>55</v>
      </c>
      <c r="D200">
        <v>0.80000000000000104</v>
      </c>
      <c r="E200" t="s">
        <v>62</v>
      </c>
      <c r="F200" t="s">
        <v>19</v>
      </c>
      <c r="G200" t="s">
        <v>21</v>
      </c>
      <c r="H200" t="s">
        <v>20</v>
      </c>
      <c r="I200" t="s">
        <v>23</v>
      </c>
      <c r="J200" t="s">
        <v>26</v>
      </c>
    </row>
    <row r="201" spans="1:15">
      <c r="A201" t="s">
        <v>55</v>
      </c>
      <c r="D201">
        <v>0.70000000000000095</v>
      </c>
      <c r="E201" t="s">
        <v>62</v>
      </c>
      <c r="F201" t="s">
        <v>18</v>
      </c>
      <c r="G201" t="s">
        <v>23</v>
      </c>
      <c r="H201" t="s">
        <v>17</v>
      </c>
      <c r="I201" t="s">
        <v>26</v>
      </c>
      <c r="J201" t="s">
        <v>22</v>
      </c>
    </row>
    <row r="202" spans="1:15">
      <c r="A202" t="s">
        <v>55</v>
      </c>
      <c r="D202">
        <v>0.6</v>
      </c>
      <c r="E202" t="s">
        <v>62</v>
      </c>
      <c r="F202" t="s">
        <v>23</v>
      </c>
      <c r="G202" t="s">
        <v>17</v>
      </c>
      <c r="H202" t="s">
        <v>19</v>
      </c>
      <c r="I202" t="s">
        <v>22</v>
      </c>
      <c r="J202" t="s">
        <v>25</v>
      </c>
    </row>
    <row r="203" spans="1:15">
      <c r="A203" t="s">
        <v>55</v>
      </c>
      <c r="D203">
        <v>0.5</v>
      </c>
      <c r="E203" t="s">
        <v>62</v>
      </c>
      <c r="F203" t="s">
        <v>19</v>
      </c>
      <c r="G203" t="s">
        <v>21</v>
      </c>
      <c r="H203" t="s">
        <v>23</v>
      </c>
      <c r="I203" t="s">
        <v>24</v>
      </c>
      <c r="J203" t="s">
        <v>25</v>
      </c>
    </row>
    <row r="204" spans="1:15">
      <c r="A204" t="s">
        <v>55</v>
      </c>
      <c r="D204">
        <v>0.4</v>
      </c>
      <c r="E204" t="s">
        <v>62</v>
      </c>
      <c r="F204" t="s">
        <v>26</v>
      </c>
      <c r="G204" t="s">
        <v>19</v>
      </c>
      <c r="H204" t="s">
        <v>20</v>
      </c>
      <c r="I204" t="s">
        <v>24</v>
      </c>
      <c r="J204" t="s">
        <v>25</v>
      </c>
    </row>
    <row r="205" spans="1:15">
      <c r="A205" t="s">
        <v>55</v>
      </c>
      <c r="D205">
        <v>0.3</v>
      </c>
      <c r="E205" t="s">
        <v>62</v>
      </c>
      <c r="F205" t="s">
        <v>25</v>
      </c>
      <c r="G205" t="s">
        <v>22</v>
      </c>
      <c r="H205" t="s">
        <v>20</v>
      </c>
      <c r="I205" t="s">
        <v>18</v>
      </c>
      <c r="J205" t="s">
        <v>24</v>
      </c>
    </row>
    <row r="206" spans="1:15">
      <c r="A206" t="s">
        <v>55</v>
      </c>
      <c r="D206">
        <v>0.2</v>
      </c>
      <c r="E206" t="s">
        <v>62</v>
      </c>
      <c r="F206" t="s">
        <v>25</v>
      </c>
      <c r="G206" t="s">
        <v>18</v>
      </c>
      <c r="H206" t="s">
        <v>23</v>
      </c>
      <c r="I206" t="s">
        <v>21</v>
      </c>
      <c r="J206" t="s">
        <v>20</v>
      </c>
    </row>
    <row r="207" spans="1:15">
      <c r="A207" t="s">
        <v>55</v>
      </c>
      <c r="D207">
        <v>9.9999999999999895E-2</v>
      </c>
      <c r="E207" t="s">
        <v>62</v>
      </c>
      <c r="F207" t="s">
        <v>20</v>
      </c>
      <c r="G207" t="s">
        <v>25</v>
      </c>
      <c r="H207" t="s">
        <v>19</v>
      </c>
      <c r="I207" t="s">
        <v>17</v>
      </c>
      <c r="J207" t="s">
        <v>23</v>
      </c>
    </row>
    <row r="208" spans="1:15">
      <c r="A208" t="s">
        <v>55</v>
      </c>
      <c r="D208">
        <v>0</v>
      </c>
      <c r="E208" t="s">
        <v>62</v>
      </c>
      <c r="F208" t="s">
        <v>18</v>
      </c>
      <c r="G208" t="s">
        <v>24</v>
      </c>
      <c r="H208" t="s">
        <v>22</v>
      </c>
      <c r="I208" t="s">
        <v>23</v>
      </c>
      <c r="J208" t="s">
        <v>19</v>
      </c>
    </row>
    <row r="209" spans="1:15">
      <c r="A209" t="s">
        <v>55</v>
      </c>
      <c r="D209">
        <v>-0.1</v>
      </c>
      <c r="E209" t="s">
        <v>62</v>
      </c>
      <c r="F209" t="s">
        <v>18</v>
      </c>
      <c r="G209" t="s">
        <v>24</v>
      </c>
      <c r="H209" t="s">
        <v>17</v>
      </c>
      <c r="I209" t="s">
        <v>26</v>
      </c>
      <c r="J209" t="s">
        <v>20</v>
      </c>
    </row>
    <row r="210" spans="1:15">
      <c r="A210" t="s">
        <v>55</v>
      </c>
      <c r="D210">
        <v>-0.2</v>
      </c>
      <c r="E210" t="s">
        <v>62</v>
      </c>
      <c r="F210" t="s">
        <v>17</v>
      </c>
      <c r="G210" t="s">
        <v>23</v>
      </c>
      <c r="H210" t="s">
        <v>26</v>
      </c>
      <c r="I210" t="s">
        <v>25</v>
      </c>
      <c r="J210" t="s">
        <v>18</v>
      </c>
    </row>
    <row r="211" spans="1:15">
      <c r="A211" t="s">
        <v>55</v>
      </c>
      <c r="D211">
        <v>-0.3</v>
      </c>
      <c r="E211" t="s">
        <v>62</v>
      </c>
      <c r="F211" t="s">
        <v>20</v>
      </c>
      <c r="G211" t="s">
        <v>26</v>
      </c>
      <c r="H211" t="s">
        <v>22</v>
      </c>
      <c r="I211" t="s">
        <v>25</v>
      </c>
      <c r="J211" t="s">
        <v>21</v>
      </c>
    </row>
    <row r="212" spans="1:15">
      <c r="A212" t="s">
        <v>56</v>
      </c>
      <c r="D212">
        <v>1.7</v>
      </c>
      <c r="E212" t="s">
        <v>62</v>
      </c>
      <c r="F212" t="s">
        <v>22</v>
      </c>
      <c r="G212" t="s">
        <v>20</v>
      </c>
      <c r="H212" t="s">
        <v>19</v>
      </c>
      <c r="I212" t="s">
        <v>23</v>
      </c>
      <c r="J212" t="s">
        <v>18</v>
      </c>
      <c r="K212" t="s">
        <v>22</v>
      </c>
      <c r="L212" t="s">
        <v>20</v>
      </c>
      <c r="N212" t="s">
        <v>23</v>
      </c>
      <c r="O212" t="s">
        <v>18</v>
      </c>
    </row>
    <row r="213" spans="1:15">
      <c r="A213" t="s">
        <v>56</v>
      </c>
      <c r="D213">
        <v>1.6</v>
      </c>
      <c r="E213" t="s">
        <v>62</v>
      </c>
      <c r="F213" t="s">
        <v>18</v>
      </c>
      <c r="G213" t="s">
        <v>17</v>
      </c>
      <c r="H213" t="s">
        <v>19</v>
      </c>
      <c r="I213" t="s">
        <v>21</v>
      </c>
      <c r="J213" t="s">
        <v>26</v>
      </c>
    </row>
    <row r="214" spans="1:15">
      <c r="A214" t="s">
        <v>56</v>
      </c>
      <c r="D214">
        <v>1.5</v>
      </c>
      <c r="E214" t="s">
        <v>62</v>
      </c>
      <c r="F214" t="s">
        <v>17</v>
      </c>
      <c r="G214" t="s">
        <v>23</v>
      </c>
      <c r="H214" t="s">
        <v>24</v>
      </c>
      <c r="I214" t="s">
        <v>20</v>
      </c>
      <c r="J214" t="s">
        <v>19</v>
      </c>
    </row>
    <row r="215" spans="1:15">
      <c r="A215" t="s">
        <v>56</v>
      </c>
      <c r="D215">
        <v>1.4</v>
      </c>
      <c r="E215" t="s">
        <v>62</v>
      </c>
      <c r="F215" t="s">
        <v>23</v>
      </c>
      <c r="G215" t="s">
        <v>25</v>
      </c>
      <c r="H215" t="s">
        <v>19</v>
      </c>
      <c r="I215" t="s">
        <v>17</v>
      </c>
      <c r="J215" t="s">
        <v>20</v>
      </c>
    </row>
    <row r="216" spans="1:15">
      <c r="A216" t="s">
        <v>56</v>
      </c>
      <c r="D216">
        <v>1.3</v>
      </c>
      <c r="E216" t="s">
        <v>62</v>
      </c>
      <c r="F216" t="s">
        <v>24</v>
      </c>
      <c r="G216" t="s">
        <v>26</v>
      </c>
      <c r="H216" t="s">
        <v>23</v>
      </c>
      <c r="I216" t="s">
        <v>21</v>
      </c>
      <c r="J216" t="s">
        <v>20</v>
      </c>
    </row>
    <row r="217" spans="1:15">
      <c r="A217" t="s">
        <v>56</v>
      </c>
      <c r="D217">
        <v>1.2</v>
      </c>
      <c r="E217" t="s">
        <v>62</v>
      </c>
      <c r="F217" t="s">
        <v>19</v>
      </c>
      <c r="G217" t="s">
        <v>26</v>
      </c>
      <c r="H217" t="s">
        <v>23</v>
      </c>
      <c r="I217" t="s">
        <v>22</v>
      </c>
      <c r="J217" t="s">
        <v>18</v>
      </c>
    </row>
    <row r="218" spans="1:15">
      <c r="A218" t="s">
        <v>56</v>
      </c>
      <c r="D218">
        <v>1.1000000000000001</v>
      </c>
      <c r="E218" t="s">
        <v>62</v>
      </c>
      <c r="F218" t="s">
        <v>20</v>
      </c>
      <c r="G218" t="s">
        <v>18</v>
      </c>
      <c r="H218" t="s">
        <v>22</v>
      </c>
      <c r="I218" t="s">
        <v>19</v>
      </c>
      <c r="J218" t="s">
        <v>24</v>
      </c>
    </row>
    <row r="219" spans="1:15">
      <c r="A219" t="s">
        <v>56</v>
      </c>
      <c r="D219">
        <v>1</v>
      </c>
      <c r="E219" t="s">
        <v>62</v>
      </c>
      <c r="F219" t="s">
        <v>21</v>
      </c>
      <c r="G219" t="s">
        <v>20</v>
      </c>
      <c r="H219" t="s">
        <v>18</v>
      </c>
      <c r="I219" t="s">
        <v>25</v>
      </c>
      <c r="J219" t="s">
        <v>24</v>
      </c>
    </row>
    <row r="220" spans="1:15">
      <c r="A220" t="s">
        <v>56</v>
      </c>
      <c r="D220">
        <v>0.90000000000000102</v>
      </c>
      <c r="E220" t="s">
        <v>62</v>
      </c>
      <c r="F220" t="s">
        <v>17</v>
      </c>
      <c r="G220" t="s">
        <v>20</v>
      </c>
      <c r="H220" t="s">
        <v>24</v>
      </c>
      <c r="I220" t="s">
        <v>19</v>
      </c>
      <c r="J220" t="s">
        <v>26</v>
      </c>
    </row>
    <row r="221" spans="1:15">
      <c r="A221" t="s">
        <v>56</v>
      </c>
      <c r="D221">
        <v>0.80000000000000104</v>
      </c>
      <c r="E221" t="s">
        <v>62</v>
      </c>
      <c r="F221" t="s">
        <v>22</v>
      </c>
      <c r="G221" t="s">
        <v>23</v>
      </c>
      <c r="H221" t="s">
        <v>18</v>
      </c>
      <c r="I221" t="s">
        <v>24</v>
      </c>
      <c r="J221" t="s">
        <v>19</v>
      </c>
    </row>
    <row r="222" spans="1:15">
      <c r="A222" t="s">
        <v>56</v>
      </c>
      <c r="D222">
        <v>0.70000000000000095</v>
      </c>
      <c r="E222" t="s">
        <v>62</v>
      </c>
      <c r="F222" t="s">
        <v>25</v>
      </c>
      <c r="G222" t="s">
        <v>21</v>
      </c>
      <c r="H222" t="s">
        <v>22</v>
      </c>
      <c r="I222" t="s">
        <v>17</v>
      </c>
      <c r="J222" t="s">
        <v>26</v>
      </c>
    </row>
    <row r="223" spans="1:15">
      <c r="A223" t="s">
        <v>56</v>
      </c>
      <c r="D223">
        <v>0.6</v>
      </c>
      <c r="E223" t="s">
        <v>62</v>
      </c>
      <c r="F223" t="s">
        <v>17</v>
      </c>
      <c r="G223" t="s">
        <v>18</v>
      </c>
      <c r="H223" t="s">
        <v>23</v>
      </c>
      <c r="I223" t="s">
        <v>26</v>
      </c>
      <c r="J223" t="s">
        <v>20</v>
      </c>
    </row>
    <row r="224" spans="1:15">
      <c r="A224" t="s">
        <v>56</v>
      </c>
      <c r="D224">
        <v>0.5</v>
      </c>
      <c r="E224" t="s">
        <v>62</v>
      </c>
      <c r="F224" t="s">
        <v>19</v>
      </c>
      <c r="G224" t="s">
        <v>25</v>
      </c>
      <c r="H224" t="s">
        <v>20</v>
      </c>
      <c r="I224" t="s">
        <v>17</v>
      </c>
      <c r="J224" t="s">
        <v>26</v>
      </c>
    </row>
    <row r="225" spans="1:15">
      <c r="A225" t="s">
        <v>56</v>
      </c>
      <c r="D225">
        <v>0.4</v>
      </c>
      <c r="E225" t="s">
        <v>62</v>
      </c>
      <c r="F225" t="s">
        <v>19</v>
      </c>
      <c r="G225" t="s">
        <v>24</v>
      </c>
      <c r="H225" t="s">
        <v>25</v>
      </c>
      <c r="I225" t="s">
        <v>21</v>
      </c>
      <c r="J225" t="s">
        <v>26</v>
      </c>
    </row>
    <row r="226" spans="1:15">
      <c r="A226" t="s">
        <v>56</v>
      </c>
      <c r="D226">
        <v>0.3</v>
      </c>
      <c r="E226" t="s">
        <v>62</v>
      </c>
      <c r="F226" t="s">
        <v>21</v>
      </c>
      <c r="G226" t="s">
        <v>20</v>
      </c>
      <c r="H226" t="s">
        <v>17</v>
      </c>
      <c r="I226" t="s">
        <v>18</v>
      </c>
      <c r="J226" t="s">
        <v>25</v>
      </c>
    </row>
    <row r="227" spans="1:15">
      <c r="A227" t="s">
        <v>56</v>
      </c>
      <c r="D227">
        <v>0.2</v>
      </c>
      <c r="E227" t="s">
        <v>62</v>
      </c>
      <c r="F227" t="s">
        <v>17</v>
      </c>
      <c r="G227" t="s">
        <v>22</v>
      </c>
      <c r="H227" t="s">
        <v>21</v>
      </c>
      <c r="I227" t="s">
        <v>20</v>
      </c>
      <c r="J227" t="s">
        <v>19</v>
      </c>
    </row>
    <row r="228" spans="1:15">
      <c r="A228" t="s">
        <v>56</v>
      </c>
      <c r="D228">
        <v>9.9999999999999895E-2</v>
      </c>
      <c r="E228" t="s">
        <v>62</v>
      </c>
      <c r="F228" t="s">
        <v>19</v>
      </c>
      <c r="G228" t="s">
        <v>24</v>
      </c>
      <c r="H228" t="s">
        <v>21</v>
      </c>
      <c r="I228" t="s">
        <v>18</v>
      </c>
      <c r="J228" t="s">
        <v>20</v>
      </c>
    </row>
    <row r="229" spans="1:15">
      <c r="A229" t="s">
        <v>56</v>
      </c>
      <c r="D229">
        <v>0</v>
      </c>
      <c r="E229" t="s">
        <v>62</v>
      </c>
      <c r="F229" t="s">
        <v>26</v>
      </c>
      <c r="G229" t="s">
        <v>18</v>
      </c>
      <c r="H229" t="s">
        <v>22</v>
      </c>
      <c r="I229" t="s">
        <v>24</v>
      </c>
      <c r="J229" t="s">
        <v>19</v>
      </c>
    </row>
    <row r="230" spans="1:15">
      <c r="A230" t="s">
        <v>56</v>
      </c>
      <c r="D230">
        <v>-0.1</v>
      </c>
      <c r="E230" t="s">
        <v>62</v>
      </c>
      <c r="F230" t="s">
        <v>20</v>
      </c>
      <c r="G230" t="s">
        <v>23</v>
      </c>
      <c r="H230" t="s">
        <v>26</v>
      </c>
      <c r="I230" t="s">
        <v>24</v>
      </c>
      <c r="J230" t="s">
        <v>17</v>
      </c>
    </row>
    <row r="231" spans="1:15">
      <c r="A231" t="s">
        <v>56</v>
      </c>
      <c r="D231">
        <v>-0.2</v>
      </c>
      <c r="E231" t="s">
        <v>62</v>
      </c>
      <c r="F231" t="s">
        <v>20</v>
      </c>
      <c r="G231" t="s">
        <v>21</v>
      </c>
      <c r="H231" t="s">
        <v>26</v>
      </c>
      <c r="I231" t="s">
        <v>19</v>
      </c>
      <c r="J231" t="s">
        <v>18</v>
      </c>
    </row>
    <row r="232" spans="1:15">
      <c r="A232" t="s">
        <v>56</v>
      </c>
      <c r="D232">
        <v>-0.3</v>
      </c>
      <c r="E232" t="s">
        <v>62</v>
      </c>
      <c r="F232" t="s">
        <v>25</v>
      </c>
      <c r="G232" t="s">
        <v>22</v>
      </c>
      <c r="H232" t="s">
        <v>19</v>
      </c>
      <c r="I232" t="s">
        <v>21</v>
      </c>
      <c r="J232" t="s">
        <v>23</v>
      </c>
    </row>
    <row r="233" spans="1:15">
      <c r="A233" t="s">
        <v>57</v>
      </c>
      <c r="D233">
        <v>1.7</v>
      </c>
      <c r="E233" t="s">
        <v>62</v>
      </c>
      <c r="F233" t="s">
        <v>24</v>
      </c>
      <c r="G233" t="s">
        <v>25</v>
      </c>
      <c r="H233" t="s">
        <v>19</v>
      </c>
      <c r="I233" t="s">
        <v>22</v>
      </c>
      <c r="J233" t="s">
        <v>23</v>
      </c>
      <c r="K233" t="s">
        <v>24</v>
      </c>
      <c r="L233" t="s">
        <v>25</v>
      </c>
      <c r="M233" t="s">
        <v>19</v>
      </c>
      <c r="N233" t="s">
        <v>22</v>
      </c>
      <c r="O233" t="s">
        <v>23</v>
      </c>
    </row>
    <row r="234" spans="1:15">
      <c r="A234" t="s">
        <v>57</v>
      </c>
      <c r="D234">
        <v>1.6</v>
      </c>
      <c r="E234" t="s">
        <v>62</v>
      </c>
      <c r="F234" t="s">
        <v>21</v>
      </c>
      <c r="G234" t="s">
        <v>22</v>
      </c>
      <c r="H234" t="s">
        <v>26</v>
      </c>
      <c r="I234" t="s">
        <v>23</v>
      </c>
      <c r="J234" t="s">
        <v>24</v>
      </c>
      <c r="K234" t="s">
        <v>21</v>
      </c>
      <c r="L234" t="s">
        <v>22</v>
      </c>
      <c r="M234" t="s">
        <v>26</v>
      </c>
      <c r="N234" t="s">
        <v>23</v>
      </c>
      <c r="O234" t="s">
        <v>24</v>
      </c>
    </row>
    <row r="235" spans="1:15">
      <c r="A235" t="s">
        <v>57</v>
      </c>
      <c r="D235">
        <v>1.5</v>
      </c>
      <c r="E235" t="s">
        <v>62</v>
      </c>
      <c r="F235" t="s">
        <v>21</v>
      </c>
      <c r="G235" t="s">
        <v>20</v>
      </c>
      <c r="H235" t="s">
        <v>23</v>
      </c>
      <c r="I235" t="s">
        <v>17</v>
      </c>
      <c r="J235" t="s">
        <v>24</v>
      </c>
      <c r="K235" t="s">
        <v>21</v>
      </c>
      <c r="L235" t="s">
        <v>20</v>
      </c>
      <c r="M235" t="s">
        <v>23</v>
      </c>
      <c r="N235" t="s">
        <v>17</v>
      </c>
      <c r="O235" t="s">
        <v>24</v>
      </c>
    </row>
    <row r="236" spans="1:15">
      <c r="A236" t="s">
        <v>57</v>
      </c>
      <c r="D236">
        <v>1.4</v>
      </c>
      <c r="E236" t="s">
        <v>62</v>
      </c>
      <c r="F236" t="s">
        <v>23</v>
      </c>
      <c r="G236" t="s">
        <v>24</v>
      </c>
      <c r="H236" t="s">
        <v>19</v>
      </c>
      <c r="I236" t="s">
        <v>26</v>
      </c>
      <c r="J236" t="s">
        <v>18</v>
      </c>
      <c r="K236" t="s">
        <v>23</v>
      </c>
      <c r="L236" t="s">
        <v>24</v>
      </c>
      <c r="M236" t="s">
        <v>19</v>
      </c>
      <c r="N236" t="s">
        <v>26</v>
      </c>
      <c r="O236" t="s">
        <v>18</v>
      </c>
    </row>
    <row r="237" spans="1:15">
      <c r="A237" t="s">
        <v>57</v>
      </c>
      <c r="D237">
        <v>1.3</v>
      </c>
      <c r="E237" t="s">
        <v>62</v>
      </c>
      <c r="F237" t="s">
        <v>25</v>
      </c>
      <c r="G237" t="s">
        <v>24</v>
      </c>
      <c r="H237" t="s">
        <v>17</v>
      </c>
      <c r="I237" t="s">
        <v>18</v>
      </c>
      <c r="J237" t="s">
        <v>21</v>
      </c>
      <c r="K237" t="s">
        <v>25</v>
      </c>
      <c r="L237" t="s">
        <v>24</v>
      </c>
      <c r="M237" t="s">
        <v>17</v>
      </c>
      <c r="N237" t="s">
        <v>18</v>
      </c>
      <c r="O237" t="s">
        <v>21</v>
      </c>
    </row>
    <row r="238" spans="1:15">
      <c r="A238" t="s">
        <v>57</v>
      </c>
      <c r="D238">
        <v>1.2</v>
      </c>
      <c r="E238" t="s">
        <v>62</v>
      </c>
      <c r="F238" t="s">
        <v>21</v>
      </c>
      <c r="G238" t="s">
        <v>20</v>
      </c>
      <c r="H238" t="s">
        <v>17</v>
      </c>
      <c r="I238" t="s">
        <v>23</v>
      </c>
      <c r="J238" t="s">
        <v>24</v>
      </c>
      <c r="K238" t="s">
        <v>21</v>
      </c>
      <c r="L238" t="s">
        <v>20</v>
      </c>
      <c r="M238" t="s">
        <v>17</v>
      </c>
      <c r="N238" t="s">
        <v>23</v>
      </c>
      <c r="O238" t="s">
        <v>24</v>
      </c>
    </row>
    <row r="239" spans="1:15">
      <c r="A239" t="s">
        <v>57</v>
      </c>
      <c r="D239">
        <v>1.1000000000000001</v>
      </c>
      <c r="E239" t="s">
        <v>62</v>
      </c>
      <c r="F239" t="s">
        <v>17</v>
      </c>
      <c r="G239" t="s">
        <v>18</v>
      </c>
      <c r="H239" t="s">
        <v>21</v>
      </c>
      <c r="I239" t="s">
        <v>19</v>
      </c>
      <c r="J239" t="s">
        <v>20</v>
      </c>
      <c r="K239" t="s">
        <v>17</v>
      </c>
      <c r="L239" t="s">
        <v>18</v>
      </c>
      <c r="M239" t="s">
        <v>21</v>
      </c>
      <c r="N239" t="s">
        <v>19</v>
      </c>
      <c r="O239" t="s">
        <v>20</v>
      </c>
    </row>
    <row r="240" spans="1:15">
      <c r="A240" t="s">
        <v>57</v>
      </c>
      <c r="D240">
        <v>1</v>
      </c>
      <c r="E240" t="s">
        <v>62</v>
      </c>
      <c r="F240" t="s">
        <v>26</v>
      </c>
      <c r="G240" t="s">
        <v>20</v>
      </c>
      <c r="H240" t="s">
        <v>22</v>
      </c>
      <c r="I240" t="s">
        <v>17</v>
      </c>
      <c r="J240" t="s">
        <v>25</v>
      </c>
      <c r="K240" t="s">
        <v>26</v>
      </c>
      <c r="L240" t="s">
        <v>20</v>
      </c>
      <c r="M240" t="s">
        <v>22</v>
      </c>
      <c r="N240" t="s">
        <v>17</v>
      </c>
      <c r="O240" t="s">
        <v>25</v>
      </c>
    </row>
    <row r="241" spans="1:15">
      <c r="A241" t="s">
        <v>57</v>
      </c>
      <c r="D241">
        <v>0.90000000000000102</v>
      </c>
      <c r="E241" t="s">
        <v>62</v>
      </c>
      <c r="F241" t="s">
        <v>22</v>
      </c>
      <c r="G241" t="s">
        <v>26</v>
      </c>
      <c r="H241" t="s">
        <v>19</v>
      </c>
      <c r="I241" t="s">
        <v>23</v>
      </c>
      <c r="J241" t="s">
        <v>18</v>
      </c>
      <c r="K241" t="s">
        <v>22</v>
      </c>
      <c r="L241" t="s">
        <v>26</v>
      </c>
      <c r="M241" t="s">
        <v>19</v>
      </c>
      <c r="N241" t="s">
        <v>23</v>
      </c>
      <c r="O241" t="s">
        <v>18</v>
      </c>
    </row>
    <row r="242" spans="1:15">
      <c r="A242" t="s">
        <v>57</v>
      </c>
      <c r="D242">
        <v>0.80000000000000104</v>
      </c>
      <c r="E242" t="s">
        <v>62</v>
      </c>
      <c r="F242" t="s">
        <v>22</v>
      </c>
      <c r="G242" t="s">
        <v>26</v>
      </c>
      <c r="H242" t="s">
        <v>18</v>
      </c>
      <c r="I242" t="s">
        <v>24</v>
      </c>
      <c r="J242" t="s">
        <v>17</v>
      </c>
      <c r="K242" t="s">
        <v>22</v>
      </c>
      <c r="L242" t="s">
        <v>26</v>
      </c>
      <c r="M242" t="s">
        <v>18</v>
      </c>
      <c r="N242" t="s">
        <v>24</v>
      </c>
      <c r="O242" t="s">
        <v>17</v>
      </c>
    </row>
    <row r="243" spans="1:15">
      <c r="A243" t="s">
        <v>57</v>
      </c>
      <c r="D243">
        <v>0.70000000000000095</v>
      </c>
      <c r="E243" t="s">
        <v>62</v>
      </c>
      <c r="F243" t="s">
        <v>26</v>
      </c>
      <c r="G243" t="s">
        <v>17</v>
      </c>
      <c r="H243" t="s">
        <v>21</v>
      </c>
      <c r="I243" t="s">
        <v>22</v>
      </c>
      <c r="J243" t="s">
        <v>24</v>
      </c>
      <c r="K243" t="s">
        <v>26</v>
      </c>
      <c r="L243" t="s">
        <v>17</v>
      </c>
      <c r="M243" t="s">
        <v>21</v>
      </c>
      <c r="N243" t="s">
        <v>22</v>
      </c>
      <c r="O243" t="s">
        <v>24</v>
      </c>
    </row>
    <row r="244" spans="1:15">
      <c r="A244" t="s">
        <v>57</v>
      </c>
      <c r="D244">
        <v>0.6</v>
      </c>
      <c r="E244" t="s">
        <v>62</v>
      </c>
      <c r="F244" t="s">
        <v>22</v>
      </c>
      <c r="G244" t="s">
        <v>17</v>
      </c>
      <c r="H244" t="s">
        <v>18</v>
      </c>
      <c r="I244" t="s">
        <v>24</v>
      </c>
      <c r="J244" t="s">
        <v>21</v>
      </c>
      <c r="K244" t="s">
        <v>22</v>
      </c>
      <c r="L244" t="s">
        <v>17</v>
      </c>
      <c r="M244" t="s">
        <v>18</v>
      </c>
      <c r="N244" t="s">
        <v>24</v>
      </c>
      <c r="O244" t="s">
        <v>21</v>
      </c>
    </row>
    <row r="245" spans="1:15">
      <c r="A245" t="s">
        <v>57</v>
      </c>
      <c r="D245">
        <v>0.5</v>
      </c>
      <c r="E245" t="s">
        <v>62</v>
      </c>
      <c r="F245" t="s">
        <v>24</v>
      </c>
      <c r="G245" t="s">
        <v>20</v>
      </c>
      <c r="H245" t="s">
        <v>23</v>
      </c>
      <c r="I245" t="s">
        <v>25</v>
      </c>
      <c r="J245" t="s">
        <v>21</v>
      </c>
      <c r="K245" t="s">
        <v>24</v>
      </c>
      <c r="L245" t="s">
        <v>20</v>
      </c>
      <c r="M245" t="s">
        <v>23</v>
      </c>
      <c r="N245" t="s">
        <v>25</v>
      </c>
      <c r="O245" t="s">
        <v>21</v>
      </c>
    </row>
    <row r="246" spans="1:15">
      <c r="A246" t="s">
        <v>57</v>
      </c>
      <c r="D246">
        <v>0.4</v>
      </c>
      <c r="E246" t="s">
        <v>62</v>
      </c>
      <c r="F246" t="s">
        <v>19</v>
      </c>
      <c r="G246" t="s">
        <v>22</v>
      </c>
      <c r="H246" t="s">
        <v>24</v>
      </c>
      <c r="I246" t="s">
        <v>17</v>
      </c>
      <c r="J246" t="s">
        <v>26</v>
      </c>
      <c r="K246" t="s">
        <v>19</v>
      </c>
      <c r="L246" t="s">
        <v>22</v>
      </c>
      <c r="M246" t="s">
        <v>24</v>
      </c>
      <c r="O246" t="s">
        <v>26</v>
      </c>
    </row>
    <row r="247" spans="1:15">
      <c r="A247" t="s">
        <v>57</v>
      </c>
      <c r="D247">
        <v>0.3</v>
      </c>
      <c r="E247" t="s">
        <v>62</v>
      </c>
      <c r="F247" t="s">
        <v>20</v>
      </c>
      <c r="G247" t="s">
        <v>21</v>
      </c>
      <c r="H247" t="s">
        <v>17</v>
      </c>
      <c r="I247" t="s">
        <v>26</v>
      </c>
      <c r="J247" t="s">
        <v>24</v>
      </c>
    </row>
    <row r="248" spans="1:15">
      <c r="A248" t="s">
        <v>57</v>
      </c>
      <c r="D248">
        <v>0.2</v>
      </c>
      <c r="E248" t="s">
        <v>62</v>
      </c>
      <c r="F248" t="s">
        <v>18</v>
      </c>
      <c r="G248" t="s">
        <v>20</v>
      </c>
      <c r="H248" t="s">
        <v>22</v>
      </c>
      <c r="I248" t="s">
        <v>25</v>
      </c>
      <c r="J248" t="s">
        <v>19</v>
      </c>
    </row>
    <row r="249" spans="1:15">
      <c r="A249" t="s">
        <v>57</v>
      </c>
      <c r="D249">
        <v>9.9999999999999895E-2</v>
      </c>
      <c r="E249" t="s">
        <v>62</v>
      </c>
      <c r="F249" t="s">
        <v>19</v>
      </c>
      <c r="G249" t="s">
        <v>23</v>
      </c>
      <c r="H249" t="s">
        <v>26</v>
      </c>
      <c r="I249" t="s">
        <v>17</v>
      </c>
      <c r="J249" t="s">
        <v>18</v>
      </c>
    </row>
    <row r="250" spans="1:15">
      <c r="A250" t="s">
        <v>57</v>
      </c>
      <c r="D250">
        <v>0</v>
      </c>
      <c r="E250" t="s">
        <v>62</v>
      </c>
      <c r="F250" t="s">
        <v>19</v>
      </c>
      <c r="G250" t="s">
        <v>23</v>
      </c>
      <c r="H250" t="s">
        <v>21</v>
      </c>
      <c r="I250" t="s">
        <v>22</v>
      </c>
      <c r="J250" t="s">
        <v>26</v>
      </c>
    </row>
    <row r="251" spans="1:15">
      <c r="A251" t="s">
        <v>57</v>
      </c>
      <c r="D251">
        <v>-0.1</v>
      </c>
      <c r="E251" t="s">
        <v>62</v>
      </c>
      <c r="F251" t="s">
        <v>18</v>
      </c>
      <c r="G251" t="s">
        <v>22</v>
      </c>
      <c r="H251" t="s">
        <v>19</v>
      </c>
      <c r="I251" t="s">
        <v>24</v>
      </c>
      <c r="J251" t="s">
        <v>25</v>
      </c>
    </row>
    <row r="252" spans="1:15">
      <c r="A252" t="s">
        <v>57</v>
      </c>
      <c r="D252">
        <v>-0.2</v>
      </c>
      <c r="E252" t="s">
        <v>62</v>
      </c>
      <c r="F252" t="s">
        <v>21</v>
      </c>
      <c r="G252" t="s">
        <v>20</v>
      </c>
      <c r="H252" t="s">
        <v>23</v>
      </c>
      <c r="I252" t="s">
        <v>19</v>
      </c>
      <c r="J252" t="s">
        <v>17</v>
      </c>
    </row>
    <row r="253" spans="1:15">
      <c r="A253" t="s">
        <v>57</v>
      </c>
      <c r="D253">
        <v>-0.3</v>
      </c>
      <c r="E253" t="s">
        <v>62</v>
      </c>
      <c r="F253" t="s">
        <v>22</v>
      </c>
      <c r="G253" t="s">
        <v>17</v>
      </c>
      <c r="H253" t="s">
        <v>25</v>
      </c>
      <c r="I253" t="s">
        <v>18</v>
      </c>
      <c r="J253" t="s">
        <v>19</v>
      </c>
    </row>
    <row r="254" spans="1:15">
      <c r="A254" t="s">
        <v>58</v>
      </c>
      <c r="D254">
        <v>1.7</v>
      </c>
      <c r="E254" t="s">
        <v>62</v>
      </c>
      <c r="F254" t="s">
        <v>21</v>
      </c>
      <c r="G254" t="s">
        <v>24</v>
      </c>
      <c r="H254" t="s">
        <v>22</v>
      </c>
      <c r="I254" t="s">
        <v>17</v>
      </c>
      <c r="J254" t="s">
        <v>25</v>
      </c>
      <c r="K254" t="s">
        <v>21</v>
      </c>
      <c r="L254" t="s">
        <v>24</v>
      </c>
      <c r="M254" t="s">
        <v>22</v>
      </c>
      <c r="N254" t="s">
        <v>17</v>
      </c>
      <c r="O254" t="s">
        <v>25</v>
      </c>
    </row>
    <row r="255" spans="1:15">
      <c r="A255" t="s">
        <v>58</v>
      </c>
      <c r="D255">
        <v>1.6</v>
      </c>
      <c r="E255" t="s">
        <v>62</v>
      </c>
      <c r="F255" t="s">
        <v>21</v>
      </c>
      <c r="G255" t="s">
        <v>19</v>
      </c>
      <c r="H255" t="s">
        <v>18</v>
      </c>
      <c r="I255" t="s">
        <v>17</v>
      </c>
      <c r="J255" t="s">
        <v>22</v>
      </c>
      <c r="K255" t="s">
        <v>21</v>
      </c>
      <c r="L255" t="s">
        <v>19</v>
      </c>
      <c r="M255" t="s">
        <v>18</v>
      </c>
      <c r="N255" t="s">
        <v>17</v>
      </c>
      <c r="O255" t="s">
        <v>22</v>
      </c>
    </row>
    <row r="256" spans="1:15">
      <c r="A256" t="s">
        <v>58</v>
      </c>
      <c r="D256">
        <v>1.5</v>
      </c>
      <c r="E256" t="s">
        <v>62</v>
      </c>
      <c r="F256" t="s">
        <v>26</v>
      </c>
      <c r="G256" t="s">
        <v>17</v>
      </c>
      <c r="H256" t="s">
        <v>19</v>
      </c>
      <c r="I256" t="s">
        <v>21</v>
      </c>
      <c r="J256" t="s">
        <v>20</v>
      </c>
      <c r="K256" t="s">
        <v>26</v>
      </c>
      <c r="L256" t="s">
        <v>17</v>
      </c>
      <c r="M256" t="s">
        <v>19</v>
      </c>
      <c r="N256" t="s">
        <v>21</v>
      </c>
      <c r="O256" t="s">
        <v>20</v>
      </c>
    </row>
    <row r="257" spans="1:15">
      <c r="A257" t="s">
        <v>58</v>
      </c>
      <c r="D257">
        <v>1.4</v>
      </c>
      <c r="E257" t="s">
        <v>62</v>
      </c>
      <c r="F257" t="s">
        <v>22</v>
      </c>
      <c r="G257" t="s">
        <v>26</v>
      </c>
      <c r="H257" t="s">
        <v>20</v>
      </c>
      <c r="I257" t="s">
        <v>24</v>
      </c>
      <c r="J257" t="s">
        <v>18</v>
      </c>
      <c r="K257" t="s">
        <v>22</v>
      </c>
      <c r="L257" t="s">
        <v>26</v>
      </c>
      <c r="M257" t="s">
        <v>20</v>
      </c>
      <c r="N257" t="s">
        <v>24</v>
      </c>
      <c r="O257" t="s">
        <v>18</v>
      </c>
    </row>
    <row r="258" spans="1:15">
      <c r="A258" t="s">
        <v>58</v>
      </c>
      <c r="D258">
        <v>1.3</v>
      </c>
      <c r="E258" t="s">
        <v>62</v>
      </c>
      <c r="F258" t="s">
        <v>21</v>
      </c>
      <c r="G258" t="s">
        <v>19</v>
      </c>
      <c r="H258" t="s">
        <v>20</v>
      </c>
      <c r="I258" t="s">
        <v>23</v>
      </c>
      <c r="J258" t="s">
        <v>26</v>
      </c>
      <c r="K258" t="s">
        <v>21</v>
      </c>
      <c r="L258" t="s">
        <v>19</v>
      </c>
      <c r="M258" t="s">
        <v>20</v>
      </c>
      <c r="N258" t="s">
        <v>23</v>
      </c>
      <c r="O258" t="s">
        <v>26</v>
      </c>
    </row>
    <row r="259" spans="1:15">
      <c r="A259" t="s">
        <v>58</v>
      </c>
      <c r="D259">
        <v>1.2</v>
      </c>
      <c r="E259" t="s">
        <v>62</v>
      </c>
      <c r="F259" t="s">
        <v>17</v>
      </c>
      <c r="G259" t="s">
        <v>21</v>
      </c>
      <c r="H259" t="s">
        <v>18</v>
      </c>
      <c r="I259" t="s">
        <v>20</v>
      </c>
      <c r="J259" t="s">
        <v>22</v>
      </c>
      <c r="K259" t="s">
        <v>17</v>
      </c>
      <c r="L259" t="s">
        <v>21</v>
      </c>
      <c r="M259" t="s">
        <v>18</v>
      </c>
      <c r="N259" t="s">
        <v>20</v>
      </c>
      <c r="O259" t="s">
        <v>22</v>
      </c>
    </row>
    <row r="260" spans="1:15">
      <c r="A260" t="s">
        <v>58</v>
      </c>
      <c r="D260">
        <v>1.1000000000000001</v>
      </c>
      <c r="E260" t="s">
        <v>62</v>
      </c>
      <c r="F260" t="s">
        <v>21</v>
      </c>
      <c r="G260" t="s">
        <v>22</v>
      </c>
      <c r="H260" t="s">
        <v>26</v>
      </c>
      <c r="I260" t="s">
        <v>18</v>
      </c>
      <c r="J260" t="s">
        <v>17</v>
      </c>
      <c r="K260" t="s">
        <v>21</v>
      </c>
      <c r="L260" t="s">
        <v>22</v>
      </c>
      <c r="M260" t="s">
        <v>26</v>
      </c>
      <c r="N260" t="s">
        <v>18</v>
      </c>
      <c r="O260" t="s">
        <v>17</v>
      </c>
    </row>
    <row r="261" spans="1:15">
      <c r="A261" t="s">
        <v>58</v>
      </c>
      <c r="D261">
        <v>1</v>
      </c>
      <c r="E261" t="s">
        <v>62</v>
      </c>
      <c r="F261" t="s">
        <v>26</v>
      </c>
      <c r="G261" t="s">
        <v>18</v>
      </c>
      <c r="H261" t="s">
        <v>19</v>
      </c>
      <c r="I261" t="s">
        <v>22</v>
      </c>
      <c r="J261" t="s">
        <v>17</v>
      </c>
      <c r="K261" t="s">
        <v>26</v>
      </c>
      <c r="L261" t="s">
        <v>18</v>
      </c>
      <c r="M261" t="s">
        <v>19</v>
      </c>
      <c r="N261" t="s">
        <v>22</v>
      </c>
      <c r="O261" t="s">
        <v>17</v>
      </c>
    </row>
    <row r="262" spans="1:15">
      <c r="A262" t="s">
        <v>58</v>
      </c>
      <c r="D262">
        <v>0.90000000000000102</v>
      </c>
      <c r="E262" t="s">
        <v>62</v>
      </c>
      <c r="F262" t="s">
        <v>21</v>
      </c>
      <c r="G262" t="s">
        <v>23</v>
      </c>
      <c r="H262" t="s">
        <v>18</v>
      </c>
      <c r="I262" t="s">
        <v>24</v>
      </c>
      <c r="J262" t="s">
        <v>22</v>
      </c>
      <c r="K262" t="s">
        <v>21</v>
      </c>
      <c r="L262" t="s">
        <v>23</v>
      </c>
      <c r="M262" t="s">
        <v>18</v>
      </c>
      <c r="N262" t="s">
        <v>24</v>
      </c>
      <c r="O262" t="s">
        <v>22</v>
      </c>
    </row>
    <row r="263" spans="1:15">
      <c r="A263" t="s">
        <v>58</v>
      </c>
      <c r="D263">
        <v>0.80000000000000104</v>
      </c>
      <c r="E263" t="s">
        <v>62</v>
      </c>
      <c r="F263" t="s">
        <v>22</v>
      </c>
      <c r="G263" t="s">
        <v>20</v>
      </c>
      <c r="H263" t="s">
        <v>18</v>
      </c>
      <c r="I263" t="s">
        <v>23</v>
      </c>
      <c r="J263" t="s">
        <v>19</v>
      </c>
      <c r="K263" t="s">
        <v>22</v>
      </c>
      <c r="L263" t="s">
        <v>20</v>
      </c>
      <c r="M263" t="s">
        <v>18</v>
      </c>
      <c r="N263" t="s">
        <v>23</v>
      </c>
      <c r="O263" t="s">
        <v>19</v>
      </c>
    </row>
    <row r="264" spans="1:15">
      <c r="A264" t="s">
        <v>58</v>
      </c>
      <c r="D264">
        <v>0.70000000000000095</v>
      </c>
      <c r="E264" t="s">
        <v>62</v>
      </c>
      <c r="F264" t="s">
        <v>25</v>
      </c>
      <c r="G264" t="s">
        <v>18</v>
      </c>
      <c r="H264" t="s">
        <v>24</v>
      </c>
      <c r="I264" t="s">
        <v>20</v>
      </c>
      <c r="J264" t="s">
        <v>22</v>
      </c>
      <c r="K264" t="s">
        <v>25</v>
      </c>
      <c r="L264" t="s">
        <v>18</v>
      </c>
      <c r="M264" t="s">
        <v>24</v>
      </c>
      <c r="N264" t="s">
        <v>20</v>
      </c>
      <c r="O264" t="s">
        <v>22</v>
      </c>
    </row>
    <row r="265" spans="1:15">
      <c r="A265" t="s">
        <v>58</v>
      </c>
      <c r="D265">
        <v>0.6</v>
      </c>
      <c r="E265" t="s">
        <v>62</v>
      </c>
      <c r="F265" t="s">
        <v>20</v>
      </c>
      <c r="G265" t="s">
        <v>25</v>
      </c>
      <c r="H265" t="s">
        <v>19</v>
      </c>
      <c r="I265" t="s">
        <v>18</v>
      </c>
      <c r="J265" t="s">
        <v>17</v>
      </c>
    </row>
    <row r="266" spans="1:15">
      <c r="A266" t="s">
        <v>58</v>
      </c>
      <c r="D266">
        <v>0.5</v>
      </c>
      <c r="E266" t="s">
        <v>62</v>
      </c>
      <c r="F266" t="s">
        <v>26</v>
      </c>
      <c r="G266" t="s">
        <v>18</v>
      </c>
      <c r="H266" t="s">
        <v>19</v>
      </c>
      <c r="I266" t="s">
        <v>23</v>
      </c>
      <c r="J266" t="s">
        <v>20</v>
      </c>
    </row>
    <row r="267" spans="1:15">
      <c r="A267" t="s">
        <v>58</v>
      </c>
      <c r="D267">
        <v>0.4</v>
      </c>
      <c r="E267" t="s">
        <v>62</v>
      </c>
      <c r="F267" t="s">
        <v>22</v>
      </c>
      <c r="G267" t="s">
        <v>20</v>
      </c>
      <c r="H267" t="s">
        <v>18</v>
      </c>
      <c r="I267" t="s">
        <v>26</v>
      </c>
      <c r="J267" t="s">
        <v>21</v>
      </c>
    </row>
    <row r="268" spans="1:15">
      <c r="A268" t="s">
        <v>58</v>
      </c>
      <c r="D268">
        <v>0.3</v>
      </c>
      <c r="E268" t="s">
        <v>62</v>
      </c>
      <c r="F268" t="s">
        <v>23</v>
      </c>
      <c r="G268" t="s">
        <v>20</v>
      </c>
      <c r="H268" t="s">
        <v>21</v>
      </c>
      <c r="I268" t="s">
        <v>18</v>
      </c>
      <c r="J268" t="s">
        <v>25</v>
      </c>
    </row>
    <row r="269" spans="1:15">
      <c r="A269" t="s">
        <v>58</v>
      </c>
      <c r="D269">
        <v>0.2</v>
      </c>
      <c r="E269" t="s">
        <v>62</v>
      </c>
      <c r="F269" t="s">
        <v>19</v>
      </c>
      <c r="G269" t="s">
        <v>22</v>
      </c>
      <c r="H269" t="s">
        <v>24</v>
      </c>
      <c r="I269" t="s">
        <v>25</v>
      </c>
      <c r="J269" t="s">
        <v>26</v>
      </c>
    </row>
    <row r="270" spans="1:15">
      <c r="A270" t="s">
        <v>58</v>
      </c>
      <c r="D270">
        <v>9.9999999999999895E-2</v>
      </c>
      <c r="E270" t="s">
        <v>62</v>
      </c>
      <c r="F270" t="s">
        <v>24</v>
      </c>
      <c r="G270" t="s">
        <v>17</v>
      </c>
      <c r="H270" t="s">
        <v>26</v>
      </c>
      <c r="I270" t="s">
        <v>18</v>
      </c>
      <c r="J270" t="s">
        <v>19</v>
      </c>
    </row>
    <row r="271" spans="1:15">
      <c r="A271" t="s">
        <v>58</v>
      </c>
      <c r="D271">
        <v>0</v>
      </c>
      <c r="E271" t="s">
        <v>62</v>
      </c>
      <c r="F271" t="s">
        <v>21</v>
      </c>
      <c r="G271" t="s">
        <v>19</v>
      </c>
      <c r="H271" t="s">
        <v>24</v>
      </c>
      <c r="I271" t="s">
        <v>22</v>
      </c>
      <c r="J271" t="s">
        <v>20</v>
      </c>
    </row>
    <row r="272" spans="1:15">
      <c r="A272" t="s">
        <v>58</v>
      </c>
      <c r="D272">
        <v>-0.1</v>
      </c>
      <c r="E272" t="s">
        <v>62</v>
      </c>
      <c r="F272" t="s">
        <v>18</v>
      </c>
      <c r="G272" t="s">
        <v>25</v>
      </c>
      <c r="H272" t="s">
        <v>23</v>
      </c>
      <c r="I272" t="s">
        <v>21</v>
      </c>
      <c r="J272" t="s">
        <v>26</v>
      </c>
    </row>
    <row r="273" spans="1:15">
      <c r="A273" t="s">
        <v>58</v>
      </c>
      <c r="D273">
        <v>-0.2</v>
      </c>
      <c r="E273" t="s">
        <v>62</v>
      </c>
      <c r="F273" t="s">
        <v>25</v>
      </c>
      <c r="G273" t="s">
        <v>24</v>
      </c>
      <c r="H273" t="s">
        <v>19</v>
      </c>
      <c r="I273" t="s">
        <v>18</v>
      </c>
      <c r="J273" t="s">
        <v>23</v>
      </c>
    </row>
    <row r="274" spans="1:15">
      <c r="A274" t="s">
        <v>58</v>
      </c>
      <c r="D274">
        <v>-0.3</v>
      </c>
      <c r="E274" t="s">
        <v>62</v>
      </c>
      <c r="F274" t="s">
        <v>20</v>
      </c>
      <c r="G274" t="s">
        <v>24</v>
      </c>
      <c r="H274" t="s">
        <v>19</v>
      </c>
      <c r="I274" t="s">
        <v>18</v>
      </c>
      <c r="J274" t="s">
        <v>17</v>
      </c>
    </row>
    <row r="275" spans="1:15">
      <c r="A275" t="s">
        <v>59</v>
      </c>
      <c r="D275">
        <v>1.7</v>
      </c>
      <c r="E275" t="s">
        <v>62</v>
      </c>
      <c r="F275" t="s">
        <v>19</v>
      </c>
      <c r="G275" t="s">
        <v>18</v>
      </c>
      <c r="H275" t="s">
        <v>26</v>
      </c>
      <c r="I275" t="s">
        <v>21</v>
      </c>
      <c r="J275" t="s">
        <v>22</v>
      </c>
      <c r="K275" t="s">
        <v>19</v>
      </c>
      <c r="L275" t="s">
        <v>18</v>
      </c>
      <c r="M275" t="s">
        <v>26</v>
      </c>
      <c r="N275" t="s">
        <v>21</v>
      </c>
      <c r="O275" t="s">
        <v>22</v>
      </c>
    </row>
    <row r="276" spans="1:15">
      <c r="A276" t="s">
        <v>59</v>
      </c>
      <c r="D276">
        <v>1.6</v>
      </c>
      <c r="E276" t="s">
        <v>62</v>
      </c>
      <c r="F276" t="s">
        <v>25</v>
      </c>
      <c r="G276" t="s">
        <v>23</v>
      </c>
      <c r="H276" t="s">
        <v>24</v>
      </c>
      <c r="I276" t="s">
        <v>17</v>
      </c>
      <c r="J276" t="s">
        <v>22</v>
      </c>
      <c r="K276" t="s">
        <v>25</v>
      </c>
      <c r="L276" t="s">
        <v>23</v>
      </c>
      <c r="M276" t="s">
        <v>24</v>
      </c>
      <c r="N276" t="s">
        <v>17</v>
      </c>
      <c r="O276" t="s">
        <v>22</v>
      </c>
    </row>
    <row r="277" spans="1:15">
      <c r="A277" t="s">
        <v>59</v>
      </c>
      <c r="D277">
        <v>1.5</v>
      </c>
      <c r="E277" t="s">
        <v>62</v>
      </c>
      <c r="F277" t="s">
        <v>23</v>
      </c>
      <c r="G277" t="s">
        <v>20</v>
      </c>
      <c r="H277" t="s">
        <v>25</v>
      </c>
      <c r="I277" t="s">
        <v>18</v>
      </c>
      <c r="J277" t="s">
        <v>17</v>
      </c>
      <c r="K277" t="s">
        <v>23</v>
      </c>
      <c r="L277" t="s">
        <v>20</v>
      </c>
      <c r="M277" t="s">
        <v>25</v>
      </c>
      <c r="N277" t="s">
        <v>18</v>
      </c>
      <c r="O277" t="s">
        <v>17</v>
      </c>
    </row>
    <row r="278" spans="1:15">
      <c r="A278" t="s">
        <v>59</v>
      </c>
      <c r="D278">
        <v>1.4</v>
      </c>
      <c r="E278" t="s">
        <v>62</v>
      </c>
      <c r="F278" t="s">
        <v>21</v>
      </c>
      <c r="G278" t="s">
        <v>18</v>
      </c>
      <c r="H278" t="s">
        <v>25</v>
      </c>
      <c r="I278" t="s">
        <v>17</v>
      </c>
      <c r="J278" t="s">
        <v>19</v>
      </c>
      <c r="K278" t="s">
        <v>21</v>
      </c>
      <c r="L278" t="s">
        <v>18</v>
      </c>
      <c r="M278" t="s">
        <v>25</v>
      </c>
      <c r="N278" t="s">
        <v>17</v>
      </c>
      <c r="O278" t="s">
        <v>19</v>
      </c>
    </row>
    <row r="279" spans="1:15">
      <c r="A279" t="s">
        <v>59</v>
      </c>
      <c r="D279">
        <v>1.3</v>
      </c>
      <c r="E279" t="s">
        <v>62</v>
      </c>
      <c r="F279" t="s">
        <v>19</v>
      </c>
      <c r="G279" t="s">
        <v>18</v>
      </c>
      <c r="H279" t="s">
        <v>20</v>
      </c>
      <c r="I279" t="s">
        <v>17</v>
      </c>
      <c r="J279" t="s">
        <v>23</v>
      </c>
      <c r="K279" t="s">
        <v>19</v>
      </c>
      <c r="L279" t="s">
        <v>18</v>
      </c>
      <c r="M279" t="s">
        <v>20</v>
      </c>
      <c r="N279" t="s">
        <v>17</v>
      </c>
      <c r="O279" t="s">
        <v>23</v>
      </c>
    </row>
    <row r="280" spans="1:15">
      <c r="A280" t="s">
        <v>59</v>
      </c>
      <c r="D280">
        <v>1.2</v>
      </c>
      <c r="E280" t="s">
        <v>62</v>
      </c>
      <c r="F280" t="s">
        <v>17</v>
      </c>
      <c r="G280" t="s">
        <v>24</v>
      </c>
      <c r="H280" t="s">
        <v>20</v>
      </c>
      <c r="I280" t="s">
        <v>26</v>
      </c>
      <c r="J280" t="s">
        <v>18</v>
      </c>
      <c r="K280" t="s">
        <v>17</v>
      </c>
      <c r="L280" t="s">
        <v>24</v>
      </c>
      <c r="M280" t="s">
        <v>20</v>
      </c>
      <c r="N280" t="s">
        <v>26</v>
      </c>
      <c r="O280" t="s">
        <v>18</v>
      </c>
    </row>
    <row r="281" spans="1:15">
      <c r="A281" t="s">
        <v>59</v>
      </c>
      <c r="D281">
        <v>1.1000000000000001</v>
      </c>
      <c r="E281" t="s">
        <v>62</v>
      </c>
      <c r="F281" t="s">
        <v>22</v>
      </c>
      <c r="G281" t="s">
        <v>26</v>
      </c>
      <c r="H281" t="s">
        <v>21</v>
      </c>
      <c r="I281" t="s">
        <v>25</v>
      </c>
      <c r="J281" t="s">
        <v>24</v>
      </c>
      <c r="K281" t="s">
        <v>22</v>
      </c>
      <c r="L281" t="s">
        <v>26</v>
      </c>
      <c r="M281" t="s">
        <v>21</v>
      </c>
      <c r="N281" t="s">
        <v>25</v>
      </c>
      <c r="O281" t="s">
        <v>24</v>
      </c>
    </row>
    <row r="282" spans="1:15">
      <c r="A282" t="s">
        <v>59</v>
      </c>
      <c r="D282">
        <v>1</v>
      </c>
      <c r="E282" t="s">
        <v>62</v>
      </c>
      <c r="F282" t="s">
        <v>25</v>
      </c>
      <c r="G282" t="s">
        <v>24</v>
      </c>
      <c r="H282" t="s">
        <v>18</v>
      </c>
      <c r="I282" t="s">
        <v>21</v>
      </c>
      <c r="J282" t="s">
        <v>19</v>
      </c>
      <c r="K282" t="s">
        <v>25</v>
      </c>
      <c r="L282" t="s">
        <v>24</v>
      </c>
      <c r="M282" t="s">
        <v>18</v>
      </c>
      <c r="O282" t="s">
        <v>19</v>
      </c>
    </row>
    <row r="283" spans="1:15">
      <c r="A283" t="s">
        <v>59</v>
      </c>
      <c r="D283">
        <v>0.90000000000000102</v>
      </c>
      <c r="E283" t="s">
        <v>62</v>
      </c>
      <c r="F283" t="s">
        <v>26</v>
      </c>
      <c r="G283" t="s">
        <v>24</v>
      </c>
      <c r="H283" t="s">
        <v>22</v>
      </c>
      <c r="I283" t="s">
        <v>25</v>
      </c>
      <c r="J283" t="s">
        <v>17</v>
      </c>
    </row>
    <row r="284" spans="1:15">
      <c r="A284" t="s">
        <v>59</v>
      </c>
      <c r="D284">
        <v>0.80000000000000104</v>
      </c>
      <c r="E284" t="s">
        <v>62</v>
      </c>
      <c r="F284" t="s">
        <v>26</v>
      </c>
      <c r="G284" t="s">
        <v>18</v>
      </c>
      <c r="H284" t="s">
        <v>17</v>
      </c>
      <c r="I284" t="s">
        <v>19</v>
      </c>
      <c r="J284" t="s">
        <v>24</v>
      </c>
    </row>
    <row r="285" spans="1:15">
      <c r="A285" t="s">
        <v>59</v>
      </c>
      <c r="D285">
        <v>0.70000000000000095</v>
      </c>
      <c r="E285" t="s">
        <v>62</v>
      </c>
      <c r="F285" t="s">
        <v>19</v>
      </c>
      <c r="G285" t="s">
        <v>17</v>
      </c>
      <c r="H285" t="s">
        <v>21</v>
      </c>
      <c r="I285" t="s">
        <v>20</v>
      </c>
      <c r="J285" t="s">
        <v>25</v>
      </c>
    </row>
    <row r="286" spans="1:15">
      <c r="A286" t="s">
        <v>59</v>
      </c>
      <c r="D286">
        <v>0.6</v>
      </c>
      <c r="E286" t="s">
        <v>62</v>
      </c>
      <c r="F286" t="s">
        <v>19</v>
      </c>
      <c r="G286" t="s">
        <v>22</v>
      </c>
      <c r="H286" t="s">
        <v>25</v>
      </c>
      <c r="I286" t="s">
        <v>21</v>
      </c>
      <c r="J286" t="s">
        <v>26</v>
      </c>
    </row>
    <row r="287" spans="1:15">
      <c r="A287" t="s">
        <v>59</v>
      </c>
      <c r="D287">
        <v>0.5</v>
      </c>
      <c r="E287" t="s">
        <v>62</v>
      </c>
      <c r="F287" t="s">
        <v>17</v>
      </c>
      <c r="G287" t="s">
        <v>18</v>
      </c>
      <c r="H287" t="s">
        <v>26</v>
      </c>
      <c r="I287" t="s">
        <v>21</v>
      </c>
      <c r="J287" t="s">
        <v>24</v>
      </c>
    </row>
    <row r="288" spans="1:15">
      <c r="A288" t="s">
        <v>59</v>
      </c>
      <c r="D288">
        <v>0.4</v>
      </c>
      <c r="E288" t="s">
        <v>62</v>
      </c>
      <c r="F288" t="s">
        <v>25</v>
      </c>
      <c r="G288" t="s">
        <v>22</v>
      </c>
      <c r="H288" t="s">
        <v>24</v>
      </c>
      <c r="I288" t="s">
        <v>19</v>
      </c>
      <c r="J288" t="s">
        <v>18</v>
      </c>
    </row>
    <row r="289" spans="1:15">
      <c r="A289" t="s">
        <v>59</v>
      </c>
      <c r="D289">
        <v>0.3</v>
      </c>
      <c r="E289" t="s">
        <v>62</v>
      </c>
      <c r="F289" t="s">
        <v>18</v>
      </c>
      <c r="G289" t="s">
        <v>19</v>
      </c>
      <c r="H289" t="s">
        <v>25</v>
      </c>
      <c r="I289" t="s">
        <v>20</v>
      </c>
      <c r="J289" t="s">
        <v>26</v>
      </c>
    </row>
    <row r="290" spans="1:15">
      <c r="A290" t="s">
        <v>59</v>
      </c>
      <c r="D290">
        <v>0.2</v>
      </c>
      <c r="E290" t="s">
        <v>62</v>
      </c>
      <c r="F290" t="s">
        <v>19</v>
      </c>
      <c r="G290" t="s">
        <v>18</v>
      </c>
      <c r="H290" t="s">
        <v>21</v>
      </c>
      <c r="I290" t="s">
        <v>20</v>
      </c>
      <c r="J290" t="s">
        <v>25</v>
      </c>
    </row>
    <row r="291" spans="1:15">
      <c r="A291" t="s">
        <v>59</v>
      </c>
      <c r="D291">
        <v>9.9999999999999895E-2</v>
      </c>
      <c r="E291" t="s">
        <v>62</v>
      </c>
      <c r="F291" t="s">
        <v>23</v>
      </c>
      <c r="G291" t="s">
        <v>21</v>
      </c>
      <c r="H291" t="s">
        <v>26</v>
      </c>
      <c r="I291" t="s">
        <v>22</v>
      </c>
      <c r="J291" t="s">
        <v>24</v>
      </c>
    </row>
    <row r="292" spans="1:15">
      <c r="A292" t="s">
        <v>59</v>
      </c>
      <c r="D292">
        <v>0</v>
      </c>
      <c r="E292" t="s">
        <v>62</v>
      </c>
      <c r="F292" t="s">
        <v>20</v>
      </c>
      <c r="G292" t="s">
        <v>23</v>
      </c>
      <c r="H292" t="s">
        <v>21</v>
      </c>
      <c r="I292" t="s">
        <v>18</v>
      </c>
      <c r="J292" t="s">
        <v>17</v>
      </c>
    </row>
    <row r="293" spans="1:15">
      <c r="A293" t="s">
        <v>59</v>
      </c>
      <c r="D293">
        <v>-0.1</v>
      </c>
      <c r="E293" t="s">
        <v>62</v>
      </c>
      <c r="F293" t="s">
        <v>24</v>
      </c>
      <c r="G293" t="s">
        <v>19</v>
      </c>
      <c r="H293" t="s">
        <v>23</v>
      </c>
      <c r="I293" t="s">
        <v>20</v>
      </c>
      <c r="J293" t="s">
        <v>21</v>
      </c>
    </row>
    <row r="294" spans="1:15">
      <c r="A294" t="s">
        <v>59</v>
      </c>
      <c r="D294">
        <v>-0.2</v>
      </c>
      <c r="E294" t="s">
        <v>62</v>
      </c>
      <c r="F294" t="s">
        <v>26</v>
      </c>
      <c r="G294" t="s">
        <v>24</v>
      </c>
      <c r="H294" t="s">
        <v>22</v>
      </c>
      <c r="I294" t="s">
        <v>20</v>
      </c>
      <c r="J294" t="s">
        <v>19</v>
      </c>
    </row>
    <row r="295" spans="1:15">
      <c r="A295" t="s">
        <v>59</v>
      </c>
      <c r="D295">
        <v>-0.3</v>
      </c>
      <c r="E295" t="s">
        <v>62</v>
      </c>
      <c r="F295" t="s">
        <v>25</v>
      </c>
      <c r="G295" t="s">
        <v>22</v>
      </c>
      <c r="H295" t="s">
        <v>17</v>
      </c>
      <c r="I295" t="s">
        <v>19</v>
      </c>
      <c r="J295" t="s">
        <v>24</v>
      </c>
    </row>
    <row r="296" spans="1:15">
      <c r="A296" t="s">
        <v>60</v>
      </c>
      <c r="D296">
        <v>1.7</v>
      </c>
      <c r="E296" t="s">
        <v>62</v>
      </c>
      <c r="F296" t="s">
        <v>21</v>
      </c>
      <c r="G296" t="s">
        <v>18</v>
      </c>
      <c r="H296" t="s">
        <v>22</v>
      </c>
      <c r="I296" t="s">
        <v>26</v>
      </c>
      <c r="J296" t="s">
        <v>25</v>
      </c>
      <c r="K296" t="s">
        <v>21</v>
      </c>
      <c r="L296" t="s">
        <v>18</v>
      </c>
      <c r="M296" t="s">
        <v>22</v>
      </c>
      <c r="N296" t="s">
        <v>26</v>
      </c>
      <c r="O296" t="s">
        <v>25</v>
      </c>
    </row>
    <row r="297" spans="1:15">
      <c r="A297" t="s">
        <v>60</v>
      </c>
      <c r="D297">
        <v>1.6</v>
      </c>
      <c r="E297" t="s">
        <v>62</v>
      </c>
      <c r="F297" t="s">
        <v>22</v>
      </c>
      <c r="G297" t="s">
        <v>21</v>
      </c>
      <c r="H297" t="s">
        <v>19</v>
      </c>
      <c r="I297" t="s">
        <v>24</v>
      </c>
      <c r="J297" t="s">
        <v>25</v>
      </c>
      <c r="K297" t="s">
        <v>22</v>
      </c>
      <c r="L297" t="s">
        <v>21</v>
      </c>
      <c r="N297" t="s">
        <v>24</v>
      </c>
      <c r="O297" t="s">
        <v>25</v>
      </c>
    </row>
    <row r="298" spans="1:15">
      <c r="A298" t="s">
        <v>60</v>
      </c>
      <c r="D298">
        <v>1.5</v>
      </c>
      <c r="E298" t="s">
        <v>62</v>
      </c>
      <c r="F298" t="s">
        <v>23</v>
      </c>
      <c r="G298" t="s">
        <v>25</v>
      </c>
      <c r="H298" t="s">
        <v>24</v>
      </c>
      <c r="I298" t="s">
        <v>26</v>
      </c>
      <c r="J298" t="s">
        <v>20</v>
      </c>
      <c r="K298" t="s">
        <v>23</v>
      </c>
      <c r="L298" t="s">
        <v>25</v>
      </c>
      <c r="M298" t="s">
        <v>24</v>
      </c>
      <c r="N298" t="s">
        <v>26</v>
      </c>
      <c r="O298" t="s">
        <v>20</v>
      </c>
    </row>
    <row r="299" spans="1:15">
      <c r="A299" t="s">
        <v>60</v>
      </c>
      <c r="D299">
        <v>1.4</v>
      </c>
      <c r="E299" t="s">
        <v>62</v>
      </c>
      <c r="F299" t="s">
        <v>21</v>
      </c>
      <c r="G299" t="s">
        <v>24</v>
      </c>
      <c r="H299" t="s">
        <v>23</v>
      </c>
      <c r="I299" t="s">
        <v>26</v>
      </c>
      <c r="J299" t="s">
        <v>19</v>
      </c>
    </row>
    <row r="300" spans="1:15">
      <c r="A300" t="s">
        <v>60</v>
      </c>
      <c r="D300">
        <v>1.3</v>
      </c>
      <c r="E300" t="s">
        <v>62</v>
      </c>
      <c r="F300" t="s">
        <v>20</v>
      </c>
      <c r="G300" t="s">
        <v>22</v>
      </c>
      <c r="H300" t="s">
        <v>17</v>
      </c>
      <c r="I300" t="s">
        <v>18</v>
      </c>
      <c r="J300" t="s">
        <v>25</v>
      </c>
    </row>
    <row r="301" spans="1:15">
      <c r="A301" t="s">
        <v>60</v>
      </c>
      <c r="D301">
        <v>1.2</v>
      </c>
      <c r="E301" t="s">
        <v>62</v>
      </c>
      <c r="F301" t="s">
        <v>22</v>
      </c>
      <c r="G301" t="s">
        <v>19</v>
      </c>
      <c r="H301" t="s">
        <v>18</v>
      </c>
      <c r="I301" t="s">
        <v>25</v>
      </c>
      <c r="J301" t="s">
        <v>23</v>
      </c>
    </row>
    <row r="302" spans="1:15">
      <c r="A302" t="s">
        <v>60</v>
      </c>
      <c r="D302">
        <v>1.1000000000000001</v>
      </c>
      <c r="E302" t="s">
        <v>62</v>
      </c>
      <c r="F302" t="s">
        <v>19</v>
      </c>
      <c r="G302" t="s">
        <v>26</v>
      </c>
      <c r="H302" t="s">
        <v>23</v>
      </c>
      <c r="I302" t="s">
        <v>21</v>
      </c>
      <c r="J302" t="s">
        <v>18</v>
      </c>
    </row>
    <row r="303" spans="1:15">
      <c r="A303" t="s">
        <v>60</v>
      </c>
      <c r="D303">
        <v>1</v>
      </c>
      <c r="E303" t="s">
        <v>62</v>
      </c>
      <c r="F303" t="s">
        <v>24</v>
      </c>
      <c r="G303" t="s">
        <v>17</v>
      </c>
      <c r="H303" t="s">
        <v>22</v>
      </c>
      <c r="I303" t="s">
        <v>21</v>
      </c>
      <c r="J303" t="s">
        <v>18</v>
      </c>
    </row>
    <row r="304" spans="1:15">
      <c r="A304" t="s">
        <v>60</v>
      </c>
      <c r="D304">
        <v>0.90000000000000102</v>
      </c>
      <c r="E304" t="s">
        <v>62</v>
      </c>
      <c r="F304" t="s">
        <v>24</v>
      </c>
      <c r="G304" t="s">
        <v>23</v>
      </c>
      <c r="H304" t="s">
        <v>19</v>
      </c>
      <c r="I304" t="s">
        <v>17</v>
      </c>
      <c r="J304" t="s">
        <v>20</v>
      </c>
    </row>
    <row r="305" spans="1:10">
      <c r="A305" t="s">
        <v>60</v>
      </c>
      <c r="D305">
        <v>0.80000000000000104</v>
      </c>
      <c r="E305" t="s">
        <v>62</v>
      </c>
      <c r="F305" t="s">
        <v>25</v>
      </c>
      <c r="G305" t="s">
        <v>21</v>
      </c>
      <c r="H305" t="s">
        <v>22</v>
      </c>
      <c r="I305" t="s">
        <v>18</v>
      </c>
      <c r="J305" t="s">
        <v>19</v>
      </c>
    </row>
    <row r="306" spans="1:10">
      <c r="A306" t="s">
        <v>60</v>
      </c>
      <c r="D306">
        <v>0.70000000000000095</v>
      </c>
      <c r="E306" t="s">
        <v>62</v>
      </c>
      <c r="F306" t="s">
        <v>25</v>
      </c>
      <c r="G306" t="s">
        <v>17</v>
      </c>
      <c r="H306" t="s">
        <v>18</v>
      </c>
      <c r="I306" t="s">
        <v>20</v>
      </c>
      <c r="J306" t="s">
        <v>26</v>
      </c>
    </row>
    <row r="307" spans="1:10">
      <c r="A307" t="s">
        <v>60</v>
      </c>
      <c r="D307">
        <v>0.6</v>
      </c>
      <c r="E307" t="s">
        <v>62</v>
      </c>
      <c r="F307" t="s">
        <v>24</v>
      </c>
      <c r="G307" t="s">
        <v>26</v>
      </c>
      <c r="H307" t="s">
        <v>22</v>
      </c>
      <c r="I307" t="s">
        <v>17</v>
      </c>
      <c r="J307" t="s">
        <v>21</v>
      </c>
    </row>
    <row r="308" spans="1:10">
      <c r="A308" t="s">
        <v>60</v>
      </c>
      <c r="D308">
        <v>0.5</v>
      </c>
      <c r="E308" t="s">
        <v>62</v>
      </c>
      <c r="F308" t="s">
        <v>18</v>
      </c>
      <c r="G308" t="s">
        <v>25</v>
      </c>
      <c r="H308" t="s">
        <v>21</v>
      </c>
      <c r="I308" t="s">
        <v>20</v>
      </c>
      <c r="J308" t="s">
        <v>23</v>
      </c>
    </row>
    <row r="309" spans="1:10">
      <c r="A309" t="s">
        <v>60</v>
      </c>
      <c r="D309">
        <v>0.4</v>
      </c>
      <c r="E309" t="s">
        <v>62</v>
      </c>
      <c r="F309" t="s">
        <v>19</v>
      </c>
      <c r="G309" t="s">
        <v>24</v>
      </c>
      <c r="H309" t="s">
        <v>25</v>
      </c>
      <c r="I309" t="s">
        <v>20</v>
      </c>
      <c r="J309" t="s">
        <v>26</v>
      </c>
    </row>
    <row r="310" spans="1:10">
      <c r="A310" t="s">
        <v>60</v>
      </c>
      <c r="D310">
        <v>0.3</v>
      </c>
      <c r="E310" t="s">
        <v>62</v>
      </c>
      <c r="F310" t="s">
        <v>26</v>
      </c>
      <c r="G310" t="s">
        <v>25</v>
      </c>
      <c r="H310" t="s">
        <v>20</v>
      </c>
      <c r="I310" t="s">
        <v>24</v>
      </c>
      <c r="J310" t="s">
        <v>18</v>
      </c>
    </row>
    <row r="311" spans="1:10">
      <c r="A311" t="s">
        <v>60</v>
      </c>
      <c r="D311">
        <v>0.2</v>
      </c>
      <c r="E311" t="s">
        <v>62</v>
      </c>
      <c r="F311" t="s">
        <v>20</v>
      </c>
      <c r="G311" t="s">
        <v>22</v>
      </c>
      <c r="H311" t="s">
        <v>17</v>
      </c>
      <c r="I311" t="s">
        <v>21</v>
      </c>
      <c r="J311" t="s">
        <v>26</v>
      </c>
    </row>
    <row r="312" spans="1:10">
      <c r="A312" t="s">
        <v>60</v>
      </c>
      <c r="D312">
        <v>9.9999999999999895E-2</v>
      </c>
      <c r="E312" t="s">
        <v>62</v>
      </c>
      <c r="F312" t="s">
        <v>18</v>
      </c>
      <c r="G312" t="s">
        <v>20</v>
      </c>
      <c r="H312" t="s">
        <v>17</v>
      </c>
      <c r="I312" t="s">
        <v>23</v>
      </c>
      <c r="J312" t="s">
        <v>26</v>
      </c>
    </row>
    <row r="313" spans="1:10">
      <c r="A313" t="s">
        <v>60</v>
      </c>
      <c r="D313">
        <v>0</v>
      </c>
      <c r="E313" t="s">
        <v>62</v>
      </c>
      <c r="F313" t="s">
        <v>22</v>
      </c>
      <c r="G313" t="s">
        <v>17</v>
      </c>
      <c r="H313" t="s">
        <v>21</v>
      </c>
      <c r="I313" t="s">
        <v>25</v>
      </c>
      <c r="J313" t="s">
        <v>24</v>
      </c>
    </row>
    <row r="314" spans="1:10">
      <c r="A314" t="s">
        <v>60</v>
      </c>
      <c r="D314">
        <v>-0.1</v>
      </c>
      <c r="E314" t="s">
        <v>62</v>
      </c>
      <c r="F314" t="s">
        <v>22</v>
      </c>
      <c r="G314" t="s">
        <v>23</v>
      </c>
      <c r="H314" t="s">
        <v>26</v>
      </c>
      <c r="I314" t="s">
        <v>21</v>
      </c>
      <c r="J314" t="s">
        <v>17</v>
      </c>
    </row>
    <row r="315" spans="1:10">
      <c r="A315" t="s">
        <v>60</v>
      </c>
      <c r="D315">
        <v>-0.2</v>
      </c>
      <c r="E315" t="s">
        <v>62</v>
      </c>
      <c r="F315" t="s">
        <v>25</v>
      </c>
      <c r="G315" t="s">
        <v>24</v>
      </c>
      <c r="H315" t="s">
        <v>21</v>
      </c>
      <c r="I315" t="s">
        <v>17</v>
      </c>
      <c r="J315" t="s">
        <v>19</v>
      </c>
    </row>
    <row r="316" spans="1:10">
      <c r="A316" t="s">
        <v>60</v>
      </c>
      <c r="D316">
        <v>-0.3</v>
      </c>
      <c r="E316" t="s">
        <v>62</v>
      </c>
      <c r="F316" t="s">
        <v>19</v>
      </c>
      <c r="G316" t="s">
        <v>23</v>
      </c>
      <c r="H316" t="s">
        <v>21</v>
      </c>
      <c r="I316" t="s">
        <v>17</v>
      </c>
      <c r="J316" t="s">
        <v>26</v>
      </c>
    </row>
    <row r="317" spans="1:10">
      <c r="A317" t="s">
        <v>61</v>
      </c>
      <c r="D317">
        <v>1.7</v>
      </c>
      <c r="E317" t="s">
        <v>62</v>
      </c>
      <c r="F317" t="s">
        <v>26</v>
      </c>
      <c r="G317" t="s">
        <v>21</v>
      </c>
      <c r="H317" t="s">
        <v>22</v>
      </c>
      <c r="I317" t="s">
        <v>17</v>
      </c>
      <c r="J317" t="s">
        <v>25</v>
      </c>
    </row>
    <row r="318" spans="1:10">
      <c r="A318" t="s">
        <v>61</v>
      </c>
      <c r="D318">
        <v>1.6</v>
      </c>
      <c r="E318" t="s">
        <v>62</v>
      </c>
      <c r="F318" t="s">
        <v>25</v>
      </c>
      <c r="G318" t="s">
        <v>18</v>
      </c>
      <c r="H318" t="s">
        <v>21</v>
      </c>
      <c r="I318" t="s">
        <v>26</v>
      </c>
      <c r="J318" t="s">
        <v>17</v>
      </c>
    </row>
    <row r="319" spans="1:10">
      <c r="A319" t="s">
        <v>61</v>
      </c>
      <c r="D319">
        <v>1.5</v>
      </c>
      <c r="E319" t="s">
        <v>62</v>
      </c>
      <c r="F319" t="s">
        <v>21</v>
      </c>
      <c r="G319" t="s">
        <v>20</v>
      </c>
      <c r="H319" t="s">
        <v>25</v>
      </c>
      <c r="I319" t="s">
        <v>24</v>
      </c>
      <c r="J319" t="s">
        <v>23</v>
      </c>
    </row>
    <row r="320" spans="1:10">
      <c r="A320" t="s">
        <v>61</v>
      </c>
      <c r="D320">
        <v>1.4</v>
      </c>
      <c r="E320" t="s">
        <v>62</v>
      </c>
      <c r="F320" t="s">
        <v>17</v>
      </c>
      <c r="G320" t="s">
        <v>22</v>
      </c>
      <c r="H320" t="s">
        <v>26</v>
      </c>
      <c r="I320" t="s">
        <v>20</v>
      </c>
      <c r="J320" t="s">
        <v>19</v>
      </c>
    </row>
    <row r="321" spans="1:10">
      <c r="A321" t="s">
        <v>61</v>
      </c>
      <c r="D321">
        <v>1.3</v>
      </c>
      <c r="E321" t="s">
        <v>62</v>
      </c>
      <c r="F321" t="s">
        <v>24</v>
      </c>
      <c r="G321" t="s">
        <v>18</v>
      </c>
      <c r="H321" t="s">
        <v>21</v>
      </c>
      <c r="I321" t="s">
        <v>20</v>
      </c>
      <c r="J321" t="s">
        <v>25</v>
      </c>
    </row>
    <row r="322" spans="1:10">
      <c r="A322" t="s">
        <v>61</v>
      </c>
      <c r="D322">
        <v>1.2</v>
      </c>
      <c r="E322" t="s">
        <v>62</v>
      </c>
      <c r="F322" t="s">
        <v>20</v>
      </c>
      <c r="G322" t="s">
        <v>17</v>
      </c>
      <c r="H322" t="s">
        <v>23</v>
      </c>
      <c r="I322" t="s">
        <v>19</v>
      </c>
      <c r="J322" t="s">
        <v>25</v>
      </c>
    </row>
    <row r="323" spans="1:10">
      <c r="A323" t="s">
        <v>61</v>
      </c>
      <c r="D323">
        <v>1.1000000000000001</v>
      </c>
      <c r="E323" t="s">
        <v>62</v>
      </c>
      <c r="F323" t="s">
        <v>20</v>
      </c>
      <c r="G323" t="s">
        <v>18</v>
      </c>
      <c r="H323" t="s">
        <v>24</v>
      </c>
      <c r="I323" t="s">
        <v>26</v>
      </c>
      <c r="J323" t="s">
        <v>19</v>
      </c>
    </row>
    <row r="324" spans="1:10">
      <c r="A324" t="s">
        <v>61</v>
      </c>
      <c r="D324">
        <v>1</v>
      </c>
      <c r="E324" t="s">
        <v>62</v>
      </c>
      <c r="F324" t="s">
        <v>17</v>
      </c>
      <c r="G324" t="s">
        <v>24</v>
      </c>
      <c r="H324" t="s">
        <v>21</v>
      </c>
      <c r="I324" t="s">
        <v>25</v>
      </c>
      <c r="J324" t="s">
        <v>26</v>
      </c>
    </row>
    <row r="325" spans="1:10">
      <c r="A325" t="s">
        <v>61</v>
      </c>
      <c r="D325">
        <v>0.90000000000000102</v>
      </c>
      <c r="E325" t="s">
        <v>62</v>
      </c>
      <c r="F325" t="s">
        <v>26</v>
      </c>
      <c r="G325" t="s">
        <v>22</v>
      </c>
      <c r="H325" t="s">
        <v>19</v>
      </c>
      <c r="I325" t="s">
        <v>20</v>
      </c>
      <c r="J325" t="s">
        <v>24</v>
      </c>
    </row>
    <row r="326" spans="1:10">
      <c r="A326" t="s">
        <v>61</v>
      </c>
      <c r="D326">
        <v>0.80000000000000104</v>
      </c>
      <c r="E326" t="s">
        <v>62</v>
      </c>
      <c r="F326" t="s">
        <v>25</v>
      </c>
      <c r="G326" t="s">
        <v>19</v>
      </c>
      <c r="H326" t="s">
        <v>20</v>
      </c>
      <c r="I326" t="s">
        <v>26</v>
      </c>
      <c r="J326" t="s">
        <v>24</v>
      </c>
    </row>
    <row r="327" spans="1:10">
      <c r="A327" t="s">
        <v>61</v>
      </c>
      <c r="D327">
        <v>0.70000000000000095</v>
      </c>
      <c r="E327" t="s">
        <v>62</v>
      </c>
      <c r="F327" t="s">
        <v>25</v>
      </c>
      <c r="G327" t="s">
        <v>26</v>
      </c>
      <c r="H327" t="s">
        <v>23</v>
      </c>
      <c r="I327" t="s">
        <v>17</v>
      </c>
      <c r="J327" t="s">
        <v>24</v>
      </c>
    </row>
    <row r="328" spans="1:10">
      <c r="A328" t="s">
        <v>61</v>
      </c>
      <c r="D328">
        <v>0.6</v>
      </c>
      <c r="E328" t="s">
        <v>62</v>
      </c>
      <c r="F328" t="s">
        <v>21</v>
      </c>
      <c r="G328" t="s">
        <v>25</v>
      </c>
      <c r="H328" t="s">
        <v>23</v>
      </c>
      <c r="I328" t="s">
        <v>19</v>
      </c>
      <c r="J328" t="s">
        <v>17</v>
      </c>
    </row>
    <row r="329" spans="1:10">
      <c r="A329" t="s">
        <v>61</v>
      </c>
      <c r="D329">
        <v>0.5</v>
      </c>
      <c r="E329" t="s">
        <v>62</v>
      </c>
      <c r="F329" t="s">
        <v>25</v>
      </c>
      <c r="G329" t="s">
        <v>19</v>
      </c>
      <c r="H329" t="s">
        <v>24</v>
      </c>
      <c r="I329" t="s">
        <v>21</v>
      </c>
      <c r="J329" t="s">
        <v>18</v>
      </c>
    </row>
    <row r="330" spans="1:10">
      <c r="A330" t="s">
        <v>61</v>
      </c>
      <c r="D330">
        <v>0.4</v>
      </c>
      <c r="E330" t="s">
        <v>62</v>
      </c>
      <c r="F330" t="s">
        <v>17</v>
      </c>
      <c r="G330" t="s">
        <v>19</v>
      </c>
      <c r="H330" t="s">
        <v>23</v>
      </c>
      <c r="I330" t="s">
        <v>24</v>
      </c>
      <c r="J330" t="s">
        <v>25</v>
      </c>
    </row>
    <row r="331" spans="1:10">
      <c r="A331" t="s">
        <v>61</v>
      </c>
      <c r="D331">
        <v>0.3</v>
      </c>
      <c r="E331" t="s">
        <v>62</v>
      </c>
      <c r="F331" t="s">
        <v>21</v>
      </c>
      <c r="G331" t="s">
        <v>18</v>
      </c>
      <c r="H331" t="s">
        <v>26</v>
      </c>
      <c r="I331" t="s">
        <v>19</v>
      </c>
      <c r="J331" t="s">
        <v>20</v>
      </c>
    </row>
    <row r="332" spans="1:10">
      <c r="A332" t="s">
        <v>61</v>
      </c>
      <c r="D332">
        <v>0.2</v>
      </c>
      <c r="E332" t="s">
        <v>62</v>
      </c>
      <c r="F332" t="s">
        <v>24</v>
      </c>
      <c r="G332" t="s">
        <v>23</v>
      </c>
      <c r="H332" t="s">
        <v>25</v>
      </c>
      <c r="I332" t="s">
        <v>22</v>
      </c>
      <c r="J332" t="s">
        <v>26</v>
      </c>
    </row>
    <row r="333" spans="1:10">
      <c r="A333" t="s">
        <v>61</v>
      </c>
      <c r="D333">
        <v>9.9999999999999895E-2</v>
      </c>
      <c r="E333" t="s">
        <v>62</v>
      </c>
      <c r="F333" t="s">
        <v>18</v>
      </c>
      <c r="G333" t="s">
        <v>26</v>
      </c>
      <c r="H333" t="s">
        <v>17</v>
      </c>
      <c r="I333" t="s">
        <v>20</v>
      </c>
      <c r="J333" t="s">
        <v>25</v>
      </c>
    </row>
    <row r="334" spans="1:10">
      <c r="A334" t="s">
        <v>61</v>
      </c>
      <c r="D334">
        <v>0</v>
      </c>
      <c r="E334" t="s">
        <v>62</v>
      </c>
      <c r="F334" t="s">
        <v>24</v>
      </c>
      <c r="G334" t="s">
        <v>19</v>
      </c>
      <c r="H334" t="s">
        <v>21</v>
      </c>
      <c r="I334" t="s">
        <v>20</v>
      </c>
      <c r="J334" t="s">
        <v>18</v>
      </c>
    </row>
    <row r="335" spans="1:10">
      <c r="A335" t="s">
        <v>61</v>
      </c>
      <c r="D335">
        <v>-0.1</v>
      </c>
      <c r="E335" t="s">
        <v>62</v>
      </c>
      <c r="F335" t="s">
        <v>20</v>
      </c>
      <c r="G335" t="s">
        <v>17</v>
      </c>
      <c r="H335" t="s">
        <v>23</v>
      </c>
      <c r="I335" t="s">
        <v>22</v>
      </c>
      <c r="J335" t="s">
        <v>21</v>
      </c>
    </row>
    <row r="336" spans="1:10">
      <c r="A336" t="s">
        <v>61</v>
      </c>
      <c r="D336">
        <v>-0.2</v>
      </c>
      <c r="E336" t="s">
        <v>62</v>
      </c>
      <c r="F336" t="s">
        <v>24</v>
      </c>
      <c r="G336" t="s">
        <v>17</v>
      </c>
      <c r="H336" t="s">
        <v>20</v>
      </c>
      <c r="I336" t="s">
        <v>21</v>
      </c>
      <c r="J336" t="s">
        <v>19</v>
      </c>
    </row>
    <row r="337" spans="1:10">
      <c r="A337" t="s">
        <v>61</v>
      </c>
      <c r="D337">
        <v>-0.3</v>
      </c>
      <c r="E337" t="s">
        <v>62</v>
      </c>
      <c r="F337" t="s">
        <v>20</v>
      </c>
      <c r="G337" t="s">
        <v>23</v>
      </c>
      <c r="H337" t="s">
        <v>24</v>
      </c>
      <c r="I337" t="s">
        <v>19</v>
      </c>
      <c r="J337" t="s">
        <v>26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4D6A-C67D-3B4C-9795-CA3D01BB388C}">
  <dimension ref="A1:O1048262"/>
  <sheetViews>
    <sheetView workbookViewId="0">
      <pane ySplit="1" topLeftCell="A210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63</v>
      </c>
      <c r="B2">
        <v>1</v>
      </c>
      <c r="C2">
        <v>1</v>
      </c>
      <c r="D2">
        <v>1.7</v>
      </c>
      <c r="E2" t="s">
        <v>64</v>
      </c>
      <c r="F2" s="2" t="s">
        <v>23</v>
      </c>
      <c r="G2" t="s">
        <v>18</v>
      </c>
      <c r="H2" t="s">
        <v>17</v>
      </c>
      <c r="I2" t="s">
        <v>24</v>
      </c>
      <c r="J2" t="s">
        <v>19</v>
      </c>
      <c r="K2" s="2" t="s">
        <v>23</v>
      </c>
      <c r="L2" t="s">
        <v>18</v>
      </c>
      <c r="M2" t="s">
        <v>17</v>
      </c>
      <c r="N2" t="s">
        <v>24</v>
      </c>
      <c r="O2" t="s">
        <v>19</v>
      </c>
    </row>
    <row r="3" spans="1:15">
      <c r="A3" t="s">
        <v>63</v>
      </c>
      <c r="B3">
        <v>1</v>
      </c>
      <c r="C3">
        <v>1</v>
      </c>
      <c r="D3">
        <v>1.6</v>
      </c>
      <c r="E3" t="s">
        <v>64</v>
      </c>
      <c r="F3" s="2" t="s">
        <v>17</v>
      </c>
      <c r="G3" t="s">
        <v>26</v>
      </c>
      <c r="H3" t="s">
        <v>21</v>
      </c>
      <c r="I3" t="s">
        <v>25</v>
      </c>
      <c r="J3" t="s">
        <v>22</v>
      </c>
      <c r="K3" s="2" t="s">
        <v>17</v>
      </c>
      <c r="L3" t="s">
        <v>26</v>
      </c>
      <c r="M3" t="s">
        <v>21</v>
      </c>
      <c r="N3" t="s">
        <v>25</v>
      </c>
      <c r="O3" t="s">
        <v>22</v>
      </c>
    </row>
    <row r="4" spans="1:15">
      <c r="A4" t="s">
        <v>63</v>
      </c>
      <c r="B4">
        <v>1</v>
      </c>
      <c r="C4">
        <v>1</v>
      </c>
      <c r="D4">
        <v>1.5</v>
      </c>
      <c r="E4" t="s">
        <v>64</v>
      </c>
      <c r="F4" s="2" t="s">
        <v>19</v>
      </c>
      <c r="G4" t="s">
        <v>21</v>
      </c>
      <c r="H4" t="s">
        <v>22</v>
      </c>
      <c r="I4" t="s">
        <v>18</v>
      </c>
      <c r="J4" t="s">
        <v>25</v>
      </c>
      <c r="K4" s="2" t="s">
        <v>19</v>
      </c>
      <c r="L4" t="s">
        <v>21</v>
      </c>
      <c r="M4" t="s">
        <v>22</v>
      </c>
      <c r="N4" t="s">
        <v>18</v>
      </c>
      <c r="O4" t="s">
        <v>25</v>
      </c>
    </row>
    <row r="5" spans="1:15">
      <c r="A5" t="s">
        <v>63</v>
      </c>
      <c r="B5">
        <v>1</v>
      </c>
      <c r="C5">
        <v>1</v>
      </c>
      <c r="D5">
        <v>1.4</v>
      </c>
      <c r="E5" t="s">
        <v>64</v>
      </c>
      <c r="F5" s="2" t="s">
        <v>23</v>
      </c>
      <c r="G5" t="s">
        <v>22</v>
      </c>
      <c r="H5" t="s">
        <v>24</v>
      </c>
      <c r="I5" t="s">
        <v>17</v>
      </c>
      <c r="J5" t="s">
        <v>18</v>
      </c>
      <c r="K5" s="2" t="s">
        <v>23</v>
      </c>
      <c r="L5" t="s">
        <v>22</v>
      </c>
      <c r="M5" t="s">
        <v>24</v>
      </c>
      <c r="N5" t="s">
        <v>17</v>
      </c>
      <c r="O5" t="s">
        <v>18</v>
      </c>
    </row>
    <row r="6" spans="1:15">
      <c r="A6" t="s">
        <v>63</v>
      </c>
      <c r="B6">
        <v>1</v>
      </c>
      <c r="C6">
        <v>1</v>
      </c>
      <c r="D6">
        <v>1.3</v>
      </c>
      <c r="E6" t="s">
        <v>64</v>
      </c>
      <c r="F6" s="2" t="s">
        <v>24</v>
      </c>
      <c r="G6" t="s">
        <v>23</v>
      </c>
      <c r="H6" t="s">
        <v>20</v>
      </c>
      <c r="I6" t="s">
        <v>19</v>
      </c>
      <c r="J6" t="s">
        <v>18</v>
      </c>
      <c r="K6" s="2" t="s">
        <v>24</v>
      </c>
      <c r="L6" t="s">
        <v>23</v>
      </c>
      <c r="M6" t="s">
        <v>20</v>
      </c>
      <c r="N6" t="s">
        <v>19</v>
      </c>
      <c r="O6" t="s">
        <v>18</v>
      </c>
    </row>
    <row r="7" spans="1:15">
      <c r="A7" t="s">
        <v>63</v>
      </c>
      <c r="B7">
        <v>1</v>
      </c>
      <c r="C7">
        <v>1</v>
      </c>
      <c r="D7">
        <v>1.2</v>
      </c>
      <c r="E7" t="s">
        <v>64</v>
      </c>
      <c r="F7" s="2" t="s">
        <v>20</v>
      </c>
      <c r="G7" t="s">
        <v>26</v>
      </c>
      <c r="H7" t="s">
        <v>25</v>
      </c>
      <c r="I7" t="s">
        <v>17</v>
      </c>
      <c r="J7" t="s">
        <v>19</v>
      </c>
      <c r="K7" s="2" t="s">
        <v>20</v>
      </c>
      <c r="L7" t="s">
        <v>26</v>
      </c>
      <c r="M7" t="s">
        <v>25</v>
      </c>
      <c r="N7" t="s">
        <v>17</v>
      </c>
      <c r="O7" t="s">
        <v>19</v>
      </c>
    </row>
    <row r="8" spans="1:15">
      <c r="A8" t="s">
        <v>63</v>
      </c>
      <c r="B8">
        <v>1</v>
      </c>
      <c r="C8">
        <v>1</v>
      </c>
      <c r="D8">
        <v>1.1000000000000001</v>
      </c>
      <c r="E8" t="s">
        <v>64</v>
      </c>
      <c r="F8" s="2" t="s">
        <v>23</v>
      </c>
      <c r="G8" t="s">
        <v>22</v>
      </c>
      <c r="H8" t="s">
        <v>17</v>
      </c>
      <c r="I8" t="s">
        <v>19</v>
      </c>
      <c r="J8" t="s">
        <v>26</v>
      </c>
      <c r="K8" s="2" t="s">
        <v>23</v>
      </c>
      <c r="L8" t="s">
        <v>22</v>
      </c>
      <c r="M8" t="s">
        <v>17</v>
      </c>
      <c r="N8" t="s">
        <v>19</v>
      </c>
      <c r="O8" t="s">
        <v>26</v>
      </c>
    </row>
    <row r="9" spans="1:15">
      <c r="A9" t="s">
        <v>63</v>
      </c>
      <c r="B9">
        <v>1</v>
      </c>
      <c r="C9">
        <v>1</v>
      </c>
      <c r="D9">
        <v>1</v>
      </c>
      <c r="E9" t="s">
        <v>64</v>
      </c>
      <c r="F9" s="2" t="s">
        <v>18</v>
      </c>
      <c r="G9" t="s">
        <v>24</v>
      </c>
      <c r="H9" t="s">
        <v>25</v>
      </c>
      <c r="I9" t="s">
        <v>21</v>
      </c>
      <c r="J9" t="s">
        <v>23</v>
      </c>
      <c r="K9" s="2" t="s">
        <v>18</v>
      </c>
      <c r="L9" t="s">
        <v>24</v>
      </c>
      <c r="M9" t="s">
        <v>25</v>
      </c>
      <c r="N9" t="s">
        <v>21</v>
      </c>
      <c r="O9" t="s">
        <v>23</v>
      </c>
    </row>
    <row r="10" spans="1:15">
      <c r="A10" t="s">
        <v>63</v>
      </c>
      <c r="B10">
        <v>1</v>
      </c>
      <c r="C10">
        <v>1</v>
      </c>
      <c r="D10">
        <v>0.90000000000000102</v>
      </c>
      <c r="E10" t="s">
        <v>64</v>
      </c>
      <c r="F10" s="2" t="s">
        <v>17</v>
      </c>
      <c r="G10" t="s">
        <v>19</v>
      </c>
      <c r="H10" t="s">
        <v>26</v>
      </c>
      <c r="I10" t="s">
        <v>24</v>
      </c>
      <c r="J10" t="s">
        <v>25</v>
      </c>
      <c r="K10" s="2" t="s">
        <v>17</v>
      </c>
      <c r="L10" t="s">
        <v>19</v>
      </c>
      <c r="M10" t="s">
        <v>26</v>
      </c>
      <c r="N10" t="s">
        <v>24</v>
      </c>
      <c r="O10" t="s">
        <v>25</v>
      </c>
    </row>
    <row r="11" spans="1:15">
      <c r="A11" t="s">
        <v>63</v>
      </c>
      <c r="B11">
        <v>1</v>
      </c>
      <c r="C11">
        <v>1</v>
      </c>
      <c r="D11">
        <v>0.80000000000000104</v>
      </c>
      <c r="E11" t="s">
        <v>64</v>
      </c>
      <c r="F11" s="2" t="s">
        <v>18</v>
      </c>
      <c r="G11" t="s">
        <v>17</v>
      </c>
      <c r="H11" t="s">
        <v>26</v>
      </c>
      <c r="I11" t="s">
        <v>22</v>
      </c>
      <c r="J11" t="s">
        <v>19</v>
      </c>
      <c r="K11" s="2" t="s">
        <v>18</v>
      </c>
      <c r="L11" t="s">
        <v>17</v>
      </c>
      <c r="M11" t="s">
        <v>26</v>
      </c>
      <c r="N11" t="s">
        <v>22</v>
      </c>
      <c r="O11" t="s">
        <v>19</v>
      </c>
    </row>
    <row r="12" spans="1:15">
      <c r="A12" t="s">
        <v>63</v>
      </c>
      <c r="B12">
        <v>1</v>
      </c>
      <c r="C12">
        <v>1</v>
      </c>
      <c r="D12">
        <v>0.70000000000000095</v>
      </c>
      <c r="E12" t="s">
        <v>64</v>
      </c>
      <c r="F12" s="2" t="s">
        <v>17</v>
      </c>
      <c r="G12" t="s">
        <v>26</v>
      </c>
      <c r="H12" t="s">
        <v>24</v>
      </c>
      <c r="I12" t="s">
        <v>18</v>
      </c>
      <c r="J12" t="s">
        <v>23</v>
      </c>
      <c r="K12" s="2" t="s">
        <v>17</v>
      </c>
      <c r="L12" t="s">
        <v>26</v>
      </c>
      <c r="M12" t="s">
        <v>24</v>
      </c>
      <c r="N12" t="s">
        <v>18</v>
      </c>
      <c r="O12" t="s">
        <v>23</v>
      </c>
    </row>
    <row r="13" spans="1:15">
      <c r="A13" t="s">
        <v>63</v>
      </c>
      <c r="B13">
        <v>1</v>
      </c>
      <c r="C13">
        <v>1</v>
      </c>
      <c r="D13">
        <v>0.6</v>
      </c>
      <c r="E13" t="s">
        <v>64</v>
      </c>
      <c r="F13" s="2" t="s">
        <v>21</v>
      </c>
      <c r="G13" t="s">
        <v>26</v>
      </c>
      <c r="H13" t="s">
        <v>18</v>
      </c>
      <c r="I13" t="s">
        <v>19</v>
      </c>
      <c r="J13" t="s">
        <v>24</v>
      </c>
      <c r="K13" s="2" t="s">
        <v>21</v>
      </c>
      <c r="L13" t="s">
        <v>26</v>
      </c>
      <c r="M13" t="s">
        <v>18</v>
      </c>
      <c r="N13" t="s">
        <v>19</v>
      </c>
      <c r="O13" t="s">
        <v>24</v>
      </c>
    </row>
    <row r="14" spans="1:15">
      <c r="A14" t="s">
        <v>63</v>
      </c>
      <c r="B14">
        <v>1</v>
      </c>
      <c r="C14">
        <v>1</v>
      </c>
      <c r="D14">
        <v>0.5</v>
      </c>
      <c r="E14" t="s">
        <v>64</v>
      </c>
      <c r="F14" s="2" t="s">
        <v>17</v>
      </c>
      <c r="G14" t="s">
        <v>18</v>
      </c>
      <c r="H14" t="s">
        <v>25</v>
      </c>
      <c r="I14" t="s">
        <v>22</v>
      </c>
      <c r="J14" t="s">
        <v>19</v>
      </c>
      <c r="K14" s="2" t="s">
        <v>17</v>
      </c>
      <c r="L14" t="s">
        <v>18</v>
      </c>
      <c r="M14" t="s">
        <v>25</v>
      </c>
      <c r="N14" t="s">
        <v>22</v>
      </c>
      <c r="O14" t="s">
        <v>19</v>
      </c>
    </row>
    <row r="15" spans="1:15">
      <c r="A15" t="s">
        <v>63</v>
      </c>
      <c r="B15">
        <v>1</v>
      </c>
      <c r="C15">
        <v>1</v>
      </c>
      <c r="D15">
        <v>0.4</v>
      </c>
      <c r="E15" t="s">
        <v>64</v>
      </c>
      <c r="F15" s="2" t="s">
        <v>20</v>
      </c>
      <c r="G15" t="s">
        <v>18</v>
      </c>
      <c r="H15" t="s">
        <v>26</v>
      </c>
      <c r="I15" t="s">
        <v>22</v>
      </c>
      <c r="J15" t="s">
        <v>21</v>
      </c>
      <c r="K15" s="2" t="s">
        <v>20</v>
      </c>
      <c r="L15" t="s">
        <v>18</v>
      </c>
      <c r="M15" t="s">
        <v>26</v>
      </c>
      <c r="N15" t="s">
        <v>22</v>
      </c>
      <c r="O15" t="s">
        <v>21</v>
      </c>
    </row>
    <row r="16" spans="1:15">
      <c r="A16" t="s">
        <v>63</v>
      </c>
      <c r="B16">
        <v>1</v>
      </c>
      <c r="C16">
        <v>1</v>
      </c>
      <c r="D16">
        <v>0.3</v>
      </c>
      <c r="E16" t="s">
        <v>64</v>
      </c>
      <c r="F16" s="2" t="s">
        <v>21</v>
      </c>
      <c r="G16" t="s">
        <v>23</v>
      </c>
      <c r="H16" t="s">
        <v>25</v>
      </c>
      <c r="I16" t="s">
        <v>20</v>
      </c>
      <c r="J16" t="s">
        <v>19</v>
      </c>
      <c r="K16" s="2" t="s">
        <v>21</v>
      </c>
      <c r="L16" t="s">
        <v>23</v>
      </c>
      <c r="M16" t="s">
        <v>25</v>
      </c>
      <c r="N16" t="s">
        <v>20</v>
      </c>
      <c r="O16" t="s">
        <v>19</v>
      </c>
    </row>
    <row r="17" spans="1:15">
      <c r="A17" t="s">
        <v>63</v>
      </c>
      <c r="B17">
        <v>1</v>
      </c>
      <c r="C17">
        <v>1</v>
      </c>
      <c r="D17">
        <v>0.2</v>
      </c>
      <c r="E17" t="s">
        <v>64</v>
      </c>
      <c r="F17" s="2" t="s">
        <v>25</v>
      </c>
      <c r="G17" t="s">
        <v>19</v>
      </c>
      <c r="H17" t="s">
        <v>23</v>
      </c>
      <c r="I17" t="s">
        <v>21</v>
      </c>
      <c r="J17" t="s">
        <v>20</v>
      </c>
      <c r="K17" s="2" t="s">
        <v>25</v>
      </c>
      <c r="L17" t="s">
        <v>19</v>
      </c>
      <c r="M17" t="s">
        <v>23</v>
      </c>
      <c r="N17" t="s">
        <v>21</v>
      </c>
      <c r="O17" t="s">
        <v>20</v>
      </c>
    </row>
    <row r="18" spans="1:15">
      <c r="A18" t="s">
        <v>63</v>
      </c>
      <c r="B18">
        <v>1</v>
      </c>
      <c r="C18">
        <v>1</v>
      </c>
      <c r="D18">
        <v>9.9999999999999895E-2</v>
      </c>
      <c r="E18" t="s">
        <v>64</v>
      </c>
      <c r="F18" s="2" t="s">
        <v>18</v>
      </c>
      <c r="G18" t="s">
        <v>23</v>
      </c>
      <c r="H18" t="s">
        <v>19</v>
      </c>
      <c r="I18" t="s">
        <v>22</v>
      </c>
      <c r="J18" t="s">
        <v>17</v>
      </c>
      <c r="K18" s="2" t="s">
        <v>18</v>
      </c>
      <c r="L18" t="s">
        <v>23</v>
      </c>
      <c r="M18" t="s">
        <v>19</v>
      </c>
      <c r="N18" t="s">
        <v>22</v>
      </c>
      <c r="O18" t="s">
        <v>17</v>
      </c>
    </row>
    <row r="19" spans="1:15">
      <c r="A19" t="s">
        <v>63</v>
      </c>
      <c r="B19">
        <v>1</v>
      </c>
      <c r="C19">
        <v>1</v>
      </c>
      <c r="D19">
        <v>0</v>
      </c>
      <c r="E19" t="s">
        <v>64</v>
      </c>
      <c r="F19" s="2" t="s">
        <v>22</v>
      </c>
      <c r="G19" t="s">
        <v>26</v>
      </c>
      <c r="H19" t="s">
        <v>24</v>
      </c>
      <c r="I19" t="s">
        <v>25</v>
      </c>
      <c r="J19" t="s">
        <v>23</v>
      </c>
      <c r="K19" s="2" t="s">
        <v>22</v>
      </c>
      <c r="L19" t="s">
        <v>26</v>
      </c>
      <c r="M19" t="s">
        <v>24</v>
      </c>
      <c r="N19" t="s">
        <v>25</v>
      </c>
      <c r="O19" t="s">
        <v>23</v>
      </c>
    </row>
    <row r="20" spans="1:15">
      <c r="A20" t="s">
        <v>63</v>
      </c>
      <c r="B20">
        <v>1</v>
      </c>
      <c r="C20">
        <v>1</v>
      </c>
      <c r="D20">
        <v>-0.1</v>
      </c>
      <c r="E20" t="s">
        <v>64</v>
      </c>
      <c r="F20" s="2" t="s">
        <v>17</v>
      </c>
      <c r="G20" t="s">
        <v>26</v>
      </c>
      <c r="H20" t="s">
        <v>22</v>
      </c>
      <c r="I20" t="s">
        <v>20</v>
      </c>
      <c r="J20" t="s">
        <v>23</v>
      </c>
      <c r="K20" s="2" t="s">
        <v>17</v>
      </c>
      <c r="L20" t="s">
        <v>26</v>
      </c>
      <c r="M20" t="s">
        <v>22</v>
      </c>
      <c r="N20" t="s">
        <v>20</v>
      </c>
      <c r="O20" t="s">
        <v>23</v>
      </c>
    </row>
    <row r="21" spans="1:15">
      <c r="A21" t="s">
        <v>63</v>
      </c>
      <c r="B21">
        <v>1</v>
      </c>
      <c r="C21">
        <v>1</v>
      </c>
      <c r="D21">
        <v>-0.2</v>
      </c>
      <c r="E21" t="s">
        <v>64</v>
      </c>
      <c r="F21" s="2" t="s">
        <v>18</v>
      </c>
      <c r="G21" t="s">
        <v>22</v>
      </c>
      <c r="H21" t="s">
        <v>19</v>
      </c>
      <c r="I21" t="s">
        <v>26</v>
      </c>
      <c r="J21" t="s">
        <v>17</v>
      </c>
      <c r="N21" t="s">
        <v>26</v>
      </c>
    </row>
    <row r="22" spans="1:15">
      <c r="A22" t="s">
        <v>63</v>
      </c>
      <c r="B22">
        <v>1</v>
      </c>
      <c r="C22">
        <v>1</v>
      </c>
      <c r="D22">
        <v>-0.3</v>
      </c>
      <c r="E22" t="s">
        <v>64</v>
      </c>
      <c r="F22" s="2" t="s">
        <v>26</v>
      </c>
      <c r="G22" t="s">
        <v>19</v>
      </c>
      <c r="H22" t="s">
        <v>21</v>
      </c>
      <c r="I22" t="s">
        <v>25</v>
      </c>
      <c r="J22" t="s">
        <v>22</v>
      </c>
    </row>
    <row r="23" spans="1:15">
      <c r="A23" t="s">
        <v>65</v>
      </c>
      <c r="B23">
        <f>1/3.48</f>
        <v>0.28735632183908044</v>
      </c>
      <c r="C23">
        <f>1/3.48</f>
        <v>0.28735632183908044</v>
      </c>
      <c r="D23">
        <v>1.7</v>
      </c>
      <c r="E23" t="s">
        <v>64</v>
      </c>
      <c r="F23" s="2" t="s">
        <v>26</v>
      </c>
      <c r="G23" t="s">
        <v>18</v>
      </c>
      <c r="H23" t="s">
        <v>20</v>
      </c>
      <c r="I23" t="s">
        <v>22</v>
      </c>
      <c r="J23" t="s">
        <v>19</v>
      </c>
      <c r="K23" s="2" t="s">
        <v>26</v>
      </c>
      <c r="L23" t="s">
        <v>18</v>
      </c>
      <c r="M23" t="s">
        <v>20</v>
      </c>
      <c r="N23" t="s">
        <v>22</v>
      </c>
      <c r="O23" t="s">
        <v>19</v>
      </c>
    </row>
    <row r="24" spans="1:15">
      <c r="A24" t="s">
        <v>65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64</v>
      </c>
      <c r="F24" s="2" t="s">
        <v>19</v>
      </c>
      <c r="G24" t="s">
        <v>24</v>
      </c>
      <c r="H24" t="s">
        <v>26</v>
      </c>
      <c r="I24" t="s">
        <v>23</v>
      </c>
      <c r="J24" t="s">
        <v>17</v>
      </c>
      <c r="K24" s="2" t="s">
        <v>19</v>
      </c>
      <c r="L24" t="s">
        <v>24</v>
      </c>
      <c r="M24" t="s">
        <v>26</v>
      </c>
      <c r="N24" t="s">
        <v>23</v>
      </c>
      <c r="O24" t="s">
        <v>17</v>
      </c>
    </row>
    <row r="25" spans="1:15">
      <c r="A25" t="s">
        <v>65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64</v>
      </c>
      <c r="F25" s="2" t="s">
        <v>17</v>
      </c>
      <c r="G25" t="s">
        <v>19</v>
      </c>
      <c r="H25" t="s">
        <v>23</v>
      </c>
      <c r="I25" t="s">
        <v>24</v>
      </c>
      <c r="J25" t="s">
        <v>21</v>
      </c>
      <c r="K25" s="2" t="s">
        <v>17</v>
      </c>
      <c r="L25" t="s">
        <v>19</v>
      </c>
      <c r="M25" t="s">
        <v>23</v>
      </c>
      <c r="N25" t="s">
        <v>24</v>
      </c>
      <c r="O25" t="s">
        <v>21</v>
      </c>
    </row>
    <row r="26" spans="1:15">
      <c r="A26" t="s">
        <v>65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64</v>
      </c>
      <c r="F26" s="2" t="s">
        <v>20</v>
      </c>
      <c r="G26" t="s">
        <v>17</v>
      </c>
      <c r="H26" t="s">
        <v>19</v>
      </c>
      <c r="I26" t="s">
        <v>26</v>
      </c>
      <c r="J26" t="s">
        <v>21</v>
      </c>
      <c r="K26" s="2" t="s">
        <v>20</v>
      </c>
      <c r="L26" t="s">
        <v>17</v>
      </c>
      <c r="M26" t="s">
        <v>19</v>
      </c>
      <c r="N26" t="s">
        <v>26</v>
      </c>
      <c r="O26" t="s">
        <v>21</v>
      </c>
    </row>
    <row r="27" spans="1:15">
      <c r="A27" t="s">
        <v>65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64</v>
      </c>
      <c r="F27" s="2" t="s">
        <v>18</v>
      </c>
      <c r="G27" t="s">
        <v>23</v>
      </c>
      <c r="H27" t="s">
        <v>20</v>
      </c>
      <c r="I27" t="s">
        <v>26</v>
      </c>
      <c r="J27" t="s">
        <v>22</v>
      </c>
      <c r="K27" s="2" t="s">
        <v>18</v>
      </c>
      <c r="L27" t="s">
        <v>23</v>
      </c>
      <c r="M27" t="s">
        <v>20</v>
      </c>
      <c r="N27" t="s">
        <v>26</v>
      </c>
      <c r="O27" t="s">
        <v>22</v>
      </c>
    </row>
    <row r="28" spans="1:15">
      <c r="A28" t="s">
        <v>65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64</v>
      </c>
      <c r="F28" s="2" t="s">
        <v>26</v>
      </c>
      <c r="G28" t="s">
        <v>19</v>
      </c>
      <c r="H28" t="s">
        <v>24</v>
      </c>
      <c r="I28" t="s">
        <v>23</v>
      </c>
      <c r="J28" t="s">
        <v>17</v>
      </c>
      <c r="K28" s="2" t="s">
        <v>26</v>
      </c>
      <c r="L28" t="s">
        <v>19</v>
      </c>
      <c r="M28" t="s">
        <v>24</v>
      </c>
      <c r="N28" t="s">
        <v>23</v>
      </c>
      <c r="O28" t="s">
        <v>17</v>
      </c>
    </row>
    <row r="29" spans="1:15">
      <c r="A29" t="s">
        <v>65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64</v>
      </c>
      <c r="F29" s="2" t="s">
        <v>18</v>
      </c>
      <c r="G29" t="s">
        <v>26</v>
      </c>
      <c r="H29" t="s">
        <v>19</v>
      </c>
      <c r="I29" t="s">
        <v>25</v>
      </c>
      <c r="J29" t="s">
        <v>20</v>
      </c>
      <c r="K29" s="2" t="s">
        <v>18</v>
      </c>
      <c r="L29" t="s">
        <v>26</v>
      </c>
      <c r="M29" t="s">
        <v>19</v>
      </c>
      <c r="N29" t="s">
        <v>25</v>
      </c>
      <c r="O29" t="s">
        <v>20</v>
      </c>
    </row>
    <row r="30" spans="1:15">
      <c r="A30" t="s">
        <v>65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64</v>
      </c>
      <c r="F30" s="2" t="s">
        <v>24</v>
      </c>
      <c r="G30" t="s">
        <v>18</v>
      </c>
      <c r="H30" t="s">
        <v>25</v>
      </c>
      <c r="I30" t="s">
        <v>23</v>
      </c>
      <c r="J30" t="s">
        <v>17</v>
      </c>
      <c r="K30" s="2" t="s">
        <v>24</v>
      </c>
      <c r="L30" t="s">
        <v>18</v>
      </c>
      <c r="M30" t="s">
        <v>25</v>
      </c>
      <c r="N30" t="s">
        <v>23</v>
      </c>
      <c r="O30" t="s">
        <v>17</v>
      </c>
    </row>
    <row r="31" spans="1:15">
      <c r="A31" t="s">
        <v>65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64</v>
      </c>
      <c r="F31" s="2" t="s">
        <v>20</v>
      </c>
      <c r="G31" t="s">
        <v>19</v>
      </c>
      <c r="H31" t="s">
        <v>24</v>
      </c>
      <c r="I31" t="s">
        <v>23</v>
      </c>
      <c r="J31" t="s">
        <v>22</v>
      </c>
      <c r="K31" s="2" t="s">
        <v>20</v>
      </c>
      <c r="L31" t="s">
        <v>19</v>
      </c>
      <c r="M31" t="s">
        <v>24</v>
      </c>
      <c r="N31" t="s">
        <v>23</v>
      </c>
      <c r="O31" t="s">
        <v>22</v>
      </c>
    </row>
    <row r="32" spans="1:15">
      <c r="A32" t="s">
        <v>65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64</v>
      </c>
      <c r="F32" s="2" t="s">
        <v>26</v>
      </c>
      <c r="G32" t="s">
        <v>23</v>
      </c>
      <c r="H32" t="s">
        <v>17</v>
      </c>
      <c r="I32" t="s">
        <v>20</v>
      </c>
      <c r="J32" t="s">
        <v>24</v>
      </c>
      <c r="K32" s="2" t="s">
        <v>26</v>
      </c>
      <c r="L32" t="s">
        <v>23</v>
      </c>
      <c r="M32" t="s">
        <v>17</v>
      </c>
      <c r="N32" t="s">
        <v>20</v>
      </c>
      <c r="O32" t="s">
        <v>24</v>
      </c>
    </row>
    <row r="33" spans="1:15">
      <c r="A33" t="s">
        <v>65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64</v>
      </c>
      <c r="F33" s="2" t="s">
        <v>26</v>
      </c>
      <c r="G33" t="s">
        <v>18</v>
      </c>
      <c r="H33" t="s">
        <v>23</v>
      </c>
      <c r="I33" t="s">
        <v>17</v>
      </c>
      <c r="J33" t="s">
        <v>24</v>
      </c>
      <c r="K33" s="2" t="s">
        <v>26</v>
      </c>
      <c r="L33" t="s">
        <v>18</v>
      </c>
      <c r="M33" t="s">
        <v>23</v>
      </c>
      <c r="N33" t="s">
        <v>17</v>
      </c>
      <c r="O33" t="s">
        <v>24</v>
      </c>
    </row>
    <row r="34" spans="1:15">
      <c r="A34" t="s">
        <v>65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64</v>
      </c>
      <c r="F34" s="2" t="s">
        <v>19</v>
      </c>
      <c r="G34" t="s">
        <v>17</v>
      </c>
      <c r="H34" t="s">
        <v>22</v>
      </c>
      <c r="I34" t="s">
        <v>21</v>
      </c>
      <c r="J34" t="s">
        <v>23</v>
      </c>
      <c r="K34" s="2" t="s">
        <v>19</v>
      </c>
      <c r="L34" t="s">
        <v>17</v>
      </c>
      <c r="M34" t="s">
        <v>22</v>
      </c>
      <c r="N34" t="s">
        <v>21</v>
      </c>
      <c r="O34" t="s">
        <v>23</v>
      </c>
    </row>
    <row r="35" spans="1:15">
      <c r="A35" t="s">
        <v>65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64</v>
      </c>
      <c r="F35" s="2" t="s">
        <v>21</v>
      </c>
      <c r="G35" t="s">
        <v>24</v>
      </c>
      <c r="H35" t="s">
        <v>19</v>
      </c>
      <c r="I35" t="s">
        <v>23</v>
      </c>
      <c r="J35" t="s">
        <v>20</v>
      </c>
      <c r="K35" s="2" t="s">
        <v>21</v>
      </c>
      <c r="L35" t="s">
        <v>24</v>
      </c>
      <c r="M35" t="s">
        <v>19</v>
      </c>
      <c r="N35" t="s">
        <v>23</v>
      </c>
      <c r="O35" t="s">
        <v>20</v>
      </c>
    </row>
    <row r="36" spans="1:15">
      <c r="A36" t="s">
        <v>65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64</v>
      </c>
      <c r="F36" s="2" t="s">
        <v>23</v>
      </c>
      <c r="G36" t="s">
        <v>24</v>
      </c>
      <c r="H36" t="s">
        <v>21</v>
      </c>
      <c r="I36" t="s">
        <v>17</v>
      </c>
      <c r="J36" t="s">
        <v>25</v>
      </c>
      <c r="K36" s="2" t="s">
        <v>23</v>
      </c>
      <c r="L36" t="s">
        <v>24</v>
      </c>
      <c r="M36" t="s">
        <v>21</v>
      </c>
      <c r="N36" t="s">
        <v>17</v>
      </c>
      <c r="O36" t="s">
        <v>25</v>
      </c>
    </row>
    <row r="37" spans="1:15">
      <c r="A37" t="s">
        <v>65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64</v>
      </c>
      <c r="F37" s="2" t="s">
        <v>25</v>
      </c>
      <c r="G37" t="s">
        <v>17</v>
      </c>
      <c r="H37" t="s">
        <v>18</v>
      </c>
      <c r="I37" t="s">
        <v>22</v>
      </c>
      <c r="J37" t="s">
        <v>23</v>
      </c>
      <c r="K37" s="2" t="s">
        <v>25</v>
      </c>
      <c r="L37" t="s">
        <v>17</v>
      </c>
      <c r="M37" t="s">
        <v>18</v>
      </c>
      <c r="N37" t="s">
        <v>22</v>
      </c>
      <c r="O37" t="s">
        <v>23</v>
      </c>
    </row>
    <row r="38" spans="1:15">
      <c r="A38" t="s">
        <v>65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64</v>
      </c>
      <c r="F38" s="2" t="s">
        <v>26</v>
      </c>
      <c r="G38" t="s">
        <v>18</v>
      </c>
      <c r="H38" t="s">
        <v>25</v>
      </c>
      <c r="I38" t="s">
        <v>23</v>
      </c>
      <c r="J38" t="s">
        <v>17</v>
      </c>
      <c r="K38" s="2" t="s">
        <v>26</v>
      </c>
      <c r="M38" t="s">
        <v>25</v>
      </c>
    </row>
    <row r="39" spans="1:15">
      <c r="A39" t="s">
        <v>65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64</v>
      </c>
      <c r="F39" s="2" t="s">
        <v>18</v>
      </c>
      <c r="G39" t="s">
        <v>22</v>
      </c>
      <c r="H39" t="s">
        <v>21</v>
      </c>
      <c r="I39" t="s">
        <v>19</v>
      </c>
      <c r="J39" t="s">
        <v>25</v>
      </c>
      <c r="K39" s="2"/>
    </row>
    <row r="40" spans="1:15">
      <c r="A40" t="s">
        <v>65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64</v>
      </c>
      <c r="F40" s="2" t="s">
        <v>23</v>
      </c>
      <c r="G40" t="s">
        <v>20</v>
      </c>
      <c r="H40" t="s">
        <v>25</v>
      </c>
      <c r="I40" t="s">
        <v>22</v>
      </c>
      <c r="J40" t="s">
        <v>21</v>
      </c>
    </row>
    <row r="41" spans="1:15">
      <c r="A41" t="s">
        <v>65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64</v>
      </c>
      <c r="F41" s="2" t="s">
        <v>17</v>
      </c>
      <c r="G41" t="s">
        <v>20</v>
      </c>
      <c r="H41" t="s">
        <v>19</v>
      </c>
      <c r="I41" t="s">
        <v>22</v>
      </c>
      <c r="J41" t="s">
        <v>23</v>
      </c>
    </row>
    <row r="42" spans="1:15">
      <c r="A42" t="s">
        <v>65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64</v>
      </c>
      <c r="F42" s="2" t="s">
        <v>26</v>
      </c>
      <c r="G42" t="s">
        <v>18</v>
      </c>
      <c r="H42" t="s">
        <v>25</v>
      </c>
      <c r="I42" t="s">
        <v>24</v>
      </c>
      <c r="J42" t="s">
        <v>23</v>
      </c>
    </row>
    <row r="43" spans="1:15">
      <c r="A43" t="s">
        <v>65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64</v>
      </c>
      <c r="F43" s="2" t="s">
        <v>19</v>
      </c>
      <c r="G43" t="s">
        <v>23</v>
      </c>
      <c r="H43" t="s">
        <v>21</v>
      </c>
      <c r="I43" t="s">
        <v>18</v>
      </c>
      <c r="J43" t="s">
        <v>20</v>
      </c>
    </row>
    <row r="44" spans="1:15">
      <c r="A44" t="s">
        <v>66</v>
      </c>
      <c r="B44">
        <f>1/6.4</f>
        <v>0.15625</v>
      </c>
      <c r="C44">
        <f>1/6.4</f>
        <v>0.15625</v>
      </c>
      <c r="D44">
        <v>1.7</v>
      </c>
      <c r="E44" t="s">
        <v>64</v>
      </c>
      <c r="F44" s="2" t="s">
        <v>25</v>
      </c>
      <c r="G44" t="s">
        <v>18</v>
      </c>
      <c r="H44" t="s">
        <v>17</v>
      </c>
      <c r="I44" t="s">
        <v>21</v>
      </c>
      <c r="J44" t="s">
        <v>22</v>
      </c>
      <c r="K44" s="2" t="s">
        <v>25</v>
      </c>
      <c r="L44" t="s">
        <v>18</v>
      </c>
      <c r="M44" t="s">
        <v>17</v>
      </c>
      <c r="N44" t="s">
        <v>21</v>
      </c>
      <c r="O44" t="s">
        <v>22</v>
      </c>
    </row>
    <row r="45" spans="1:15">
      <c r="A45" t="s">
        <v>66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64</v>
      </c>
      <c r="F45" s="2" t="s">
        <v>23</v>
      </c>
      <c r="G45" t="s">
        <v>20</v>
      </c>
      <c r="H45" t="s">
        <v>25</v>
      </c>
      <c r="I45" t="s">
        <v>19</v>
      </c>
      <c r="J45" t="s">
        <v>21</v>
      </c>
      <c r="K45" s="2" t="s">
        <v>23</v>
      </c>
      <c r="L45" t="s">
        <v>20</v>
      </c>
      <c r="M45" t="s">
        <v>25</v>
      </c>
      <c r="N45" t="s">
        <v>19</v>
      </c>
      <c r="O45" t="s">
        <v>21</v>
      </c>
    </row>
    <row r="46" spans="1:15">
      <c r="A46" t="s">
        <v>66</v>
      </c>
      <c r="B46">
        <f t="shared" si="1"/>
        <v>0.15625</v>
      </c>
      <c r="C46">
        <f t="shared" si="1"/>
        <v>0.15625</v>
      </c>
      <c r="D46">
        <v>1.5</v>
      </c>
      <c r="E46" t="s">
        <v>64</v>
      </c>
      <c r="F46" s="2" t="s">
        <v>19</v>
      </c>
      <c r="G46" t="s">
        <v>20</v>
      </c>
      <c r="H46" t="s">
        <v>22</v>
      </c>
      <c r="I46" t="s">
        <v>25</v>
      </c>
      <c r="J46" t="s">
        <v>23</v>
      </c>
      <c r="K46" s="2" t="s">
        <v>19</v>
      </c>
      <c r="L46" t="s">
        <v>20</v>
      </c>
      <c r="M46" t="s">
        <v>22</v>
      </c>
      <c r="N46" t="s">
        <v>25</v>
      </c>
      <c r="O46" t="s">
        <v>23</v>
      </c>
    </row>
    <row r="47" spans="1:15">
      <c r="A47" t="s">
        <v>66</v>
      </c>
      <c r="B47">
        <f t="shared" si="1"/>
        <v>0.15625</v>
      </c>
      <c r="C47">
        <f t="shared" si="1"/>
        <v>0.15625</v>
      </c>
      <c r="D47">
        <v>1.4</v>
      </c>
      <c r="E47" t="s">
        <v>64</v>
      </c>
      <c r="F47" s="2" t="s">
        <v>25</v>
      </c>
      <c r="G47" t="s">
        <v>17</v>
      </c>
      <c r="H47" t="s">
        <v>26</v>
      </c>
      <c r="I47" t="s">
        <v>21</v>
      </c>
      <c r="J47" t="s">
        <v>22</v>
      </c>
      <c r="K47" s="2" t="s">
        <v>25</v>
      </c>
      <c r="L47" t="s">
        <v>17</v>
      </c>
      <c r="M47" t="s">
        <v>26</v>
      </c>
      <c r="N47" t="s">
        <v>21</v>
      </c>
      <c r="O47" t="s">
        <v>22</v>
      </c>
    </row>
    <row r="48" spans="1:15">
      <c r="A48" t="s">
        <v>66</v>
      </c>
      <c r="B48">
        <f t="shared" si="1"/>
        <v>0.15625</v>
      </c>
      <c r="C48">
        <f t="shared" si="1"/>
        <v>0.15625</v>
      </c>
      <c r="D48">
        <v>1.3</v>
      </c>
      <c r="E48" t="s">
        <v>64</v>
      </c>
      <c r="F48" s="2" t="s">
        <v>18</v>
      </c>
      <c r="G48" t="s">
        <v>21</v>
      </c>
      <c r="H48" t="s">
        <v>23</v>
      </c>
      <c r="I48" t="s">
        <v>19</v>
      </c>
      <c r="J48" t="s">
        <v>24</v>
      </c>
      <c r="K48" s="2" t="s">
        <v>18</v>
      </c>
      <c r="L48" t="s">
        <v>21</v>
      </c>
      <c r="M48" t="s">
        <v>23</v>
      </c>
      <c r="N48" t="s">
        <v>19</v>
      </c>
      <c r="O48" t="s">
        <v>24</v>
      </c>
    </row>
    <row r="49" spans="1:15">
      <c r="A49" t="s">
        <v>66</v>
      </c>
      <c r="B49">
        <f t="shared" si="1"/>
        <v>0.15625</v>
      </c>
      <c r="C49">
        <f t="shared" si="1"/>
        <v>0.15625</v>
      </c>
      <c r="D49">
        <v>1.2</v>
      </c>
      <c r="E49" t="s">
        <v>64</v>
      </c>
      <c r="F49" s="2" t="s">
        <v>20</v>
      </c>
      <c r="G49" t="s">
        <v>17</v>
      </c>
      <c r="H49" t="s">
        <v>25</v>
      </c>
      <c r="I49" t="s">
        <v>19</v>
      </c>
      <c r="J49" t="s">
        <v>23</v>
      </c>
      <c r="K49" s="2" t="s">
        <v>20</v>
      </c>
      <c r="L49" t="s">
        <v>17</v>
      </c>
      <c r="M49" t="s">
        <v>25</v>
      </c>
      <c r="N49" t="s">
        <v>19</v>
      </c>
      <c r="O49" t="s">
        <v>23</v>
      </c>
    </row>
    <row r="50" spans="1:15">
      <c r="A50" t="s">
        <v>66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64</v>
      </c>
      <c r="F50" s="2" t="s">
        <v>23</v>
      </c>
      <c r="G50" t="s">
        <v>26</v>
      </c>
      <c r="H50" t="s">
        <v>24</v>
      </c>
      <c r="I50" t="s">
        <v>25</v>
      </c>
      <c r="J50" t="s">
        <v>18</v>
      </c>
      <c r="K50" s="2" t="s">
        <v>23</v>
      </c>
      <c r="L50" t="s">
        <v>26</v>
      </c>
      <c r="M50" t="s">
        <v>24</v>
      </c>
      <c r="N50" t="s">
        <v>25</v>
      </c>
      <c r="O50" t="s">
        <v>18</v>
      </c>
    </row>
    <row r="51" spans="1:15">
      <c r="A51" t="s">
        <v>66</v>
      </c>
      <c r="B51">
        <f t="shared" si="1"/>
        <v>0.15625</v>
      </c>
      <c r="C51">
        <f t="shared" si="1"/>
        <v>0.15625</v>
      </c>
      <c r="D51">
        <v>1</v>
      </c>
      <c r="E51" t="s">
        <v>64</v>
      </c>
      <c r="F51" s="2" t="s">
        <v>23</v>
      </c>
      <c r="G51" t="s">
        <v>17</v>
      </c>
      <c r="H51" t="s">
        <v>19</v>
      </c>
      <c r="I51" t="s">
        <v>26</v>
      </c>
      <c r="J51" t="s">
        <v>18</v>
      </c>
      <c r="K51" s="2" t="s">
        <v>23</v>
      </c>
      <c r="L51" t="s">
        <v>17</v>
      </c>
      <c r="M51" t="s">
        <v>19</v>
      </c>
      <c r="N51" t="s">
        <v>26</v>
      </c>
      <c r="O51" t="s">
        <v>18</v>
      </c>
    </row>
    <row r="52" spans="1:15">
      <c r="A52" t="s">
        <v>66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64</v>
      </c>
      <c r="F52" s="2" t="s">
        <v>23</v>
      </c>
      <c r="G52" t="s">
        <v>22</v>
      </c>
      <c r="H52" t="s">
        <v>20</v>
      </c>
      <c r="I52" t="s">
        <v>26</v>
      </c>
      <c r="J52" t="s">
        <v>19</v>
      </c>
      <c r="K52" s="2" t="s">
        <v>23</v>
      </c>
      <c r="L52" t="s">
        <v>22</v>
      </c>
      <c r="M52" t="s">
        <v>20</v>
      </c>
      <c r="N52" t="s">
        <v>26</v>
      </c>
      <c r="O52" t="s">
        <v>19</v>
      </c>
    </row>
    <row r="53" spans="1:15">
      <c r="A53" t="s">
        <v>66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64</v>
      </c>
      <c r="F53" s="2" t="s">
        <v>24</v>
      </c>
      <c r="G53" t="s">
        <v>23</v>
      </c>
      <c r="H53" t="s">
        <v>26</v>
      </c>
      <c r="I53" t="s">
        <v>18</v>
      </c>
      <c r="J53" t="s">
        <v>20</v>
      </c>
      <c r="K53" s="2" t="s">
        <v>24</v>
      </c>
      <c r="L53" t="s">
        <v>23</v>
      </c>
      <c r="M53" t="s">
        <v>26</v>
      </c>
      <c r="N53" t="s">
        <v>18</v>
      </c>
      <c r="O53" t="s">
        <v>20</v>
      </c>
    </row>
    <row r="54" spans="1:15">
      <c r="A54" t="s">
        <v>66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64</v>
      </c>
      <c r="F54" s="2" t="s">
        <v>17</v>
      </c>
      <c r="G54" t="s">
        <v>24</v>
      </c>
      <c r="H54" t="s">
        <v>18</v>
      </c>
      <c r="I54" t="s">
        <v>19</v>
      </c>
      <c r="J54" t="s">
        <v>26</v>
      </c>
      <c r="K54" s="2" t="s">
        <v>17</v>
      </c>
      <c r="L54" t="s">
        <v>24</v>
      </c>
      <c r="M54" t="s">
        <v>18</v>
      </c>
      <c r="N54" t="s">
        <v>19</v>
      </c>
      <c r="O54" t="s">
        <v>26</v>
      </c>
    </row>
    <row r="55" spans="1:15">
      <c r="A55" t="s">
        <v>66</v>
      </c>
      <c r="B55">
        <f t="shared" si="1"/>
        <v>0.15625</v>
      </c>
      <c r="C55">
        <f t="shared" si="1"/>
        <v>0.15625</v>
      </c>
      <c r="D55">
        <v>0.6</v>
      </c>
      <c r="E55" t="s">
        <v>64</v>
      </c>
      <c r="F55" s="2" t="s">
        <v>24</v>
      </c>
      <c r="G55" t="s">
        <v>26</v>
      </c>
      <c r="H55" t="s">
        <v>25</v>
      </c>
      <c r="I55" t="s">
        <v>20</v>
      </c>
      <c r="J55" t="s">
        <v>19</v>
      </c>
      <c r="K55" s="2" t="s">
        <v>24</v>
      </c>
      <c r="L55" t="s">
        <v>26</v>
      </c>
      <c r="M55" t="s">
        <v>25</v>
      </c>
      <c r="O55" t="s">
        <v>19</v>
      </c>
    </row>
    <row r="56" spans="1:15">
      <c r="A56" t="s">
        <v>66</v>
      </c>
      <c r="B56">
        <f t="shared" si="1"/>
        <v>0.15625</v>
      </c>
      <c r="C56">
        <f t="shared" si="1"/>
        <v>0.15625</v>
      </c>
      <c r="D56">
        <v>0.5</v>
      </c>
      <c r="E56" t="s">
        <v>64</v>
      </c>
      <c r="F56" s="2" t="s">
        <v>22</v>
      </c>
      <c r="G56" t="s">
        <v>18</v>
      </c>
      <c r="H56" t="s">
        <v>24</v>
      </c>
      <c r="I56" t="s">
        <v>25</v>
      </c>
      <c r="J56" t="s">
        <v>26</v>
      </c>
      <c r="M56" t="s">
        <v>24</v>
      </c>
      <c r="N56" t="s">
        <v>25</v>
      </c>
      <c r="O56" t="s">
        <v>26</v>
      </c>
    </row>
    <row r="57" spans="1:15">
      <c r="A57" t="s">
        <v>66</v>
      </c>
      <c r="B57">
        <f t="shared" si="1"/>
        <v>0.15625</v>
      </c>
      <c r="C57">
        <f t="shared" si="1"/>
        <v>0.15625</v>
      </c>
      <c r="D57">
        <v>0.4</v>
      </c>
      <c r="E57" t="s">
        <v>64</v>
      </c>
      <c r="F57" s="2" t="s">
        <v>20</v>
      </c>
      <c r="G57" t="s">
        <v>17</v>
      </c>
      <c r="H57" t="s">
        <v>18</v>
      </c>
      <c r="I57" t="s">
        <v>19</v>
      </c>
      <c r="J57" t="s">
        <v>26</v>
      </c>
      <c r="O57" t="s">
        <v>26</v>
      </c>
    </row>
    <row r="58" spans="1:15">
      <c r="A58" t="s">
        <v>66</v>
      </c>
      <c r="B58">
        <f t="shared" si="1"/>
        <v>0.15625</v>
      </c>
      <c r="C58">
        <f t="shared" si="1"/>
        <v>0.15625</v>
      </c>
      <c r="D58">
        <v>0.3</v>
      </c>
      <c r="E58" t="s">
        <v>64</v>
      </c>
      <c r="F58" s="2" t="s">
        <v>23</v>
      </c>
      <c r="G58" t="s">
        <v>25</v>
      </c>
      <c r="H58" t="s">
        <v>17</v>
      </c>
      <c r="I58" t="s">
        <v>22</v>
      </c>
      <c r="J58" t="s">
        <v>21</v>
      </c>
    </row>
    <row r="59" spans="1:15">
      <c r="A59" t="s">
        <v>66</v>
      </c>
      <c r="B59">
        <f t="shared" si="1"/>
        <v>0.15625</v>
      </c>
      <c r="C59">
        <f t="shared" si="1"/>
        <v>0.15625</v>
      </c>
      <c r="D59">
        <v>0.2</v>
      </c>
      <c r="E59" t="s">
        <v>64</v>
      </c>
      <c r="F59" s="2" t="s">
        <v>19</v>
      </c>
      <c r="G59" t="s">
        <v>22</v>
      </c>
      <c r="H59" t="s">
        <v>20</v>
      </c>
      <c r="I59" t="s">
        <v>21</v>
      </c>
      <c r="J59" t="s">
        <v>26</v>
      </c>
    </row>
    <row r="60" spans="1:15">
      <c r="A60" t="s">
        <v>66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64</v>
      </c>
      <c r="F60" s="2" t="s">
        <v>21</v>
      </c>
      <c r="G60" t="s">
        <v>23</v>
      </c>
      <c r="H60" t="s">
        <v>25</v>
      </c>
      <c r="I60" t="s">
        <v>19</v>
      </c>
      <c r="J60" t="s">
        <v>17</v>
      </c>
    </row>
    <row r="61" spans="1:15">
      <c r="A61" t="s">
        <v>66</v>
      </c>
      <c r="B61">
        <f t="shared" si="1"/>
        <v>0.15625</v>
      </c>
      <c r="C61">
        <f t="shared" si="1"/>
        <v>0.15625</v>
      </c>
      <c r="D61">
        <v>0</v>
      </c>
      <c r="E61" t="s">
        <v>64</v>
      </c>
      <c r="F61" s="2" t="s">
        <v>26</v>
      </c>
      <c r="G61" t="s">
        <v>24</v>
      </c>
      <c r="H61" t="s">
        <v>23</v>
      </c>
      <c r="I61" t="s">
        <v>21</v>
      </c>
      <c r="J61" t="s">
        <v>22</v>
      </c>
    </row>
    <row r="62" spans="1:15">
      <c r="A62" t="s">
        <v>66</v>
      </c>
      <c r="B62">
        <f t="shared" si="1"/>
        <v>0.15625</v>
      </c>
      <c r="C62">
        <f t="shared" si="1"/>
        <v>0.15625</v>
      </c>
      <c r="D62">
        <v>-0.1</v>
      </c>
      <c r="E62" t="s">
        <v>64</v>
      </c>
      <c r="F62" s="2" t="s">
        <v>19</v>
      </c>
      <c r="G62" t="s">
        <v>22</v>
      </c>
      <c r="H62" t="s">
        <v>23</v>
      </c>
      <c r="I62" t="s">
        <v>18</v>
      </c>
      <c r="J62" t="s">
        <v>26</v>
      </c>
    </row>
    <row r="63" spans="1:15">
      <c r="A63" t="s">
        <v>66</v>
      </c>
      <c r="B63">
        <f t="shared" si="1"/>
        <v>0.15625</v>
      </c>
      <c r="C63">
        <f t="shared" si="1"/>
        <v>0.15625</v>
      </c>
      <c r="D63">
        <v>-0.2</v>
      </c>
      <c r="E63" t="s">
        <v>64</v>
      </c>
      <c r="F63" s="2" t="s">
        <v>26</v>
      </c>
      <c r="G63" t="s">
        <v>23</v>
      </c>
      <c r="H63" t="s">
        <v>20</v>
      </c>
      <c r="I63" t="s">
        <v>25</v>
      </c>
      <c r="J63" t="s">
        <v>17</v>
      </c>
    </row>
    <row r="64" spans="1:15">
      <c r="A64" t="s">
        <v>66</v>
      </c>
      <c r="B64">
        <f t="shared" si="1"/>
        <v>0.15625</v>
      </c>
      <c r="C64">
        <f t="shared" si="1"/>
        <v>0.15625</v>
      </c>
      <c r="D64">
        <v>-0.3</v>
      </c>
      <c r="E64" t="s">
        <v>64</v>
      </c>
      <c r="F64" s="2" t="s">
        <v>19</v>
      </c>
      <c r="G64" t="s">
        <v>25</v>
      </c>
      <c r="H64" t="s">
        <v>26</v>
      </c>
      <c r="I64" t="s">
        <v>24</v>
      </c>
      <c r="J64" t="s">
        <v>23</v>
      </c>
    </row>
    <row r="65" spans="1:15">
      <c r="A65" t="s">
        <v>67</v>
      </c>
      <c r="B65">
        <f>1/11.65</f>
        <v>8.5836909871244635E-2</v>
      </c>
      <c r="C65">
        <f>1/11.65</f>
        <v>8.5836909871244635E-2</v>
      </c>
      <c r="D65">
        <v>1.7</v>
      </c>
      <c r="E65" t="s">
        <v>64</v>
      </c>
      <c r="F65" s="2" t="s">
        <v>26</v>
      </c>
      <c r="G65" t="s">
        <v>23</v>
      </c>
      <c r="H65" t="s">
        <v>19</v>
      </c>
      <c r="I65" t="s">
        <v>25</v>
      </c>
      <c r="J65" t="s">
        <v>18</v>
      </c>
      <c r="K65" s="2" t="s">
        <v>26</v>
      </c>
      <c r="L65" t="s">
        <v>23</v>
      </c>
      <c r="M65" t="s">
        <v>19</v>
      </c>
      <c r="N65" t="s">
        <v>25</v>
      </c>
      <c r="O65" t="s">
        <v>18</v>
      </c>
    </row>
    <row r="66" spans="1:15">
      <c r="A66" t="s">
        <v>67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64</v>
      </c>
      <c r="F66" s="2" t="s">
        <v>17</v>
      </c>
      <c r="G66" t="s">
        <v>21</v>
      </c>
      <c r="H66" t="s">
        <v>25</v>
      </c>
      <c r="I66" t="s">
        <v>22</v>
      </c>
      <c r="J66" t="s">
        <v>18</v>
      </c>
      <c r="K66" s="2" t="s">
        <v>17</v>
      </c>
      <c r="L66" t="s">
        <v>21</v>
      </c>
      <c r="M66" t="s">
        <v>25</v>
      </c>
      <c r="N66" t="s">
        <v>22</v>
      </c>
      <c r="O66" t="s">
        <v>18</v>
      </c>
    </row>
    <row r="67" spans="1:15">
      <c r="A67" t="s">
        <v>67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64</v>
      </c>
      <c r="F67" s="2" t="s">
        <v>22</v>
      </c>
      <c r="G67" t="s">
        <v>18</v>
      </c>
      <c r="H67" t="s">
        <v>19</v>
      </c>
      <c r="I67" t="s">
        <v>20</v>
      </c>
      <c r="J67" t="s">
        <v>17</v>
      </c>
      <c r="K67" s="2" t="s">
        <v>22</v>
      </c>
      <c r="L67" t="s">
        <v>18</v>
      </c>
      <c r="M67" t="s">
        <v>19</v>
      </c>
      <c r="N67" t="s">
        <v>20</v>
      </c>
      <c r="O67" t="s">
        <v>17</v>
      </c>
    </row>
    <row r="68" spans="1:15">
      <c r="A68" t="s">
        <v>67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64</v>
      </c>
      <c r="F68" s="2" t="s">
        <v>23</v>
      </c>
      <c r="G68" t="s">
        <v>26</v>
      </c>
      <c r="H68" t="s">
        <v>17</v>
      </c>
      <c r="I68" t="s">
        <v>20</v>
      </c>
      <c r="J68" t="s">
        <v>21</v>
      </c>
      <c r="K68" s="2" t="s">
        <v>23</v>
      </c>
      <c r="L68" t="s">
        <v>26</v>
      </c>
      <c r="M68" t="s">
        <v>17</v>
      </c>
      <c r="N68" t="s">
        <v>20</v>
      </c>
      <c r="O68" t="s">
        <v>21</v>
      </c>
    </row>
    <row r="69" spans="1:15">
      <c r="A69" t="s">
        <v>67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64</v>
      </c>
      <c r="F69" s="2" t="s">
        <v>21</v>
      </c>
      <c r="G69" t="s">
        <v>26</v>
      </c>
      <c r="H69" t="s">
        <v>20</v>
      </c>
      <c r="I69" t="s">
        <v>19</v>
      </c>
      <c r="J69" t="s">
        <v>24</v>
      </c>
      <c r="K69" s="2" t="s">
        <v>21</v>
      </c>
      <c r="L69" t="s">
        <v>26</v>
      </c>
      <c r="M69" t="s">
        <v>20</v>
      </c>
      <c r="N69" t="s">
        <v>19</v>
      </c>
      <c r="O69" t="s">
        <v>24</v>
      </c>
    </row>
    <row r="70" spans="1:15">
      <c r="A70" t="s">
        <v>67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64</v>
      </c>
      <c r="F70" s="2" t="s">
        <v>21</v>
      </c>
      <c r="G70" t="s">
        <v>22</v>
      </c>
      <c r="H70" t="s">
        <v>24</v>
      </c>
      <c r="I70" t="s">
        <v>26</v>
      </c>
      <c r="J70" t="s">
        <v>17</v>
      </c>
      <c r="K70" s="2" t="s">
        <v>21</v>
      </c>
      <c r="L70" t="s">
        <v>22</v>
      </c>
      <c r="M70" t="s">
        <v>24</v>
      </c>
      <c r="N70" t="s">
        <v>26</v>
      </c>
      <c r="O70" t="s">
        <v>17</v>
      </c>
    </row>
    <row r="71" spans="1:15">
      <c r="A71" t="s">
        <v>67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64</v>
      </c>
      <c r="F71" s="2" t="s">
        <v>24</v>
      </c>
      <c r="G71" t="s">
        <v>23</v>
      </c>
      <c r="H71" t="s">
        <v>21</v>
      </c>
      <c r="I71" t="s">
        <v>17</v>
      </c>
      <c r="J71" t="s">
        <v>22</v>
      </c>
      <c r="K71" s="2" t="s">
        <v>24</v>
      </c>
      <c r="L71" t="s">
        <v>23</v>
      </c>
      <c r="M71" t="s">
        <v>21</v>
      </c>
      <c r="N71" t="s">
        <v>17</v>
      </c>
      <c r="O71" t="s">
        <v>22</v>
      </c>
    </row>
    <row r="72" spans="1:15">
      <c r="A72" t="s">
        <v>67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64</v>
      </c>
      <c r="F72" s="2" t="s">
        <v>22</v>
      </c>
      <c r="G72" t="s">
        <v>24</v>
      </c>
      <c r="H72" t="s">
        <v>18</v>
      </c>
      <c r="I72" t="s">
        <v>21</v>
      </c>
      <c r="J72" t="s">
        <v>19</v>
      </c>
      <c r="K72" s="2" t="s">
        <v>22</v>
      </c>
      <c r="L72" t="s">
        <v>24</v>
      </c>
      <c r="M72" t="s">
        <v>18</v>
      </c>
      <c r="N72" t="s">
        <v>21</v>
      </c>
      <c r="O72" t="s">
        <v>19</v>
      </c>
    </row>
    <row r="73" spans="1:15">
      <c r="A73" t="s">
        <v>67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64</v>
      </c>
      <c r="F73" s="2" t="s">
        <v>19</v>
      </c>
      <c r="G73" t="s">
        <v>23</v>
      </c>
      <c r="H73" t="s">
        <v>22</v>
      </c>
      <c r="I73" t="s">
        <v>17</v>
      </c>
      <c r="J73" t="s">
        <v>26</v>
      </c>
      <c r="L73" t="s">
        <v>23</v>
      </c>
      <c r="N73" t="s">
        <v>17</v>
      </c>
      <c r="O73" t="s">
        <v>26</v>
      </c>
    </row>
    <row r="74" spans="1:15">
      <c r="A74" t="s">
        <v>67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64</v>
      </c>
      <c r="F74" s="2" t="s">
        <v>26</v>
      </c>
      <c r="G74" t="s">
        <v>20</v>
      </c>
      <c r="H74" t="s">
        <v>21</v>
      </c>
      <c r="I74" t="s">
        <v>18</v>
      </c>
      <c r="J74" t="s">
        <v>19</v>
      </c>
    </row>
    <row r="75" spans="1:15">
      <c r="A75" t="s">
        <v>67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64</v>
      </c>
      <c r="F75" s="2" t="s">
        <v>25</v>
      </c>
      <c r="G75" t="s">
        <v>21</v>
      </c>
      <c r="H75" t="s">
        <v>24</v>
      </c>
      <c r="I75" t="s">
        <v>22</v>
      </c>
      <c r="J75" t="s">
        <v>17</v>
      </c>
    </row>
    <row r="76" spans="1:15">
      <c r="A76" t="s">
        <v>67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64</v>
      </c>
      <c r="F76" s="2" t="s">
        <v>23</v>
      </c>
      <c r="G76" t="s">
        <v>18</v>
      </c>
      <c r="H76" t="s">
        <v>17</v>
      </c>
      <c r="I76" t="s">
        <v>26</v>
      </c>
      <c r="J76" t="s">
        <v>25</v>
      </c>
    </row>
    <row r="77" spans="1:15">
      <c r="A77" t="s">
        <v>67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64</v>
      </c>
      <c r="F77" s="2" t="s">
        <v>17</v>
      </c>
      <c r="G77" t="s">
        <v>25</v>
      </c>
      <c r="H77" t="s">
        <v>23</v>
      </c>
      <c r="I77" t="s">
        <v>20</v>
      </c>
      <c r="J77" t="s">
        <v>18</v>
      </c>
    </row>
    <row r="78" spans="1:15">
      <c r="A78" t="s">
        <v>67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64</v>
      </c>
      <c r="F78" s="2" t="s">
        <v>24</v>
      </c>
      <c r="G78" t="s">
        <v>17</v>
      </c>
      <c r="H78" t="s">
        <v>26</v>
      </c>
      <c r="I78" t="s">
        <v>23</v>
      </c>
      <c r="J78" t="s">
        <v>19</v>
      </c>
    </row>
    <row r="79" spans="1:15">
      <c r="A79" t="s">
        <v>67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64</v>
      </c>
      <c r="F79" s="2" t="s">
        <v>26</v>
      </c>
      <c r="G79" t="s">
        <v>18</v>
      </c>
      <c r="H79" t="s">
        <v>21</v>
      </c>
      <c r="I79" t="s">
        <v>24</v>
      </c>
      <c r="J79" t="s">
        <v>22</v>
      </c>
    </row>
    <row r="80" spans="1:15">
      <c r="A80" t="s">
        <v>67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64</v>
      </c>
      <c r="F80" s="2" t="s">
        <v>26</v>
      </c>
      <c r="G80" t="s">
        <v>25</v>
      </c>
      <c r="H80" t="s">
        <v>20</v>
      </c>
      <c r="I80" t="s">
        <v>17</v>
      </c>
      <c r="J80" t="s">
        <v>23</v>
      </c>
    </row>
    <row r="81" spans="1:15">
      <c r="A81" t="s">
        <v>67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64</v>
      </c>
      <c r="F81" s="2" t="s">
        <v>23</v>
      </c>
      <c r="G81" t="s">
        <v>22</v>
      </c>
      <c r="H81" t="s">
        <v>25</v>
      </c>
      <c r="I81" t="s">
        <v>24</v>
      </c>
      <c r="J81" t="s">
        <v>26</v>
      </c>
    </row>
    <row r="82" spans="1:15">
      <c r="A82" t="s">
        <v>67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64</v>
      </c>
      <c r="F82" s="2" t="s">
        <v>24</v>
      </c>
      <c r="G82" t="s">
        <v>17</v>
      </c>
      <c r="H82" t="s">
        <v>23</v>
      </c>
      <c r="I82" t="s">
        <v>22</v>
      </c>
      <c r="J82" t="s">
        <v>25</v>
      </c>
    </row>
    <row r="83" spans="1:15">
      <c r="A83" t="s">
        <v>67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64</v>
      </c>
      <c r="F83" s="2" t="s">
        <v>25</v>
      </c>
      <c r="G83" t="s">
        <v>22</v>
      </c>
      <c r="H83" t="s">
        <v>19</v>
      </c>
      <c r="I83" t="s">
        <v>17</v>
      </c>
      <c r="J83" t="s">
        <v>21</v>
      </c>
    </row>
    <row r="84" spans="1:15">
      <c r="A84" t="s">
        <v>67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64</v>
      </c>
      <c r="F84" s="2" t="s">
        <v>23</v>
      </c>
      <c r="G84" t="s">
        <v>19</v>
      </c>
      <c r="H84" t="s">
        <v>26</v>
      </c>
      <c r="I84" t="s">
        <v>25</v>
      </c>
      <c r="J84" t="s">
        <v>21</v>
      </c>
    </row>
    <row r="85" spans="1:15">
      <c r="A85" t="s">
        <v>67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64</v>
      </c>
      <c r="F85" s="2" t="s">
        <v>19</v>
      </c>
      <c r="G85" t="s">
        <v>24</v>
      </c>
      <c r="H85" t="s">
        <v>26</v>
      </c>
      <c r="I85" t="s">
        <v>20</v>
      </c>
      <c r="J85" t="s">
        <v>18</v>
      </c>
    </row>
    <row r="86" spans="1:15">
      <c r="A86" t="s">
        <v>68</v>
      </c>
      <c r="B86">
        <f>1/20.9</f>
        <v>4.784688995215311E-2</v>
      </c>
      <c r="C86">
        <f>1/20.9</f>
        <v>4.784688995215311E-2</v>
      </c>
      <c r="D86">
        <v>1.7</v>
      </c>
      <c r="E86" t="s">
        <v>64</v>
      </c>
      <c r="F86" s="2" t="s">
        <v>26</v>
      </c>
      <c r="G86" t="s">
        <v>17</v>
      </c>
      <c r="H86" t="s">
        <v>24</v>
      </c>
      <c r="I86" t="s">
        <v>19</v>
      </c>
      <c r="J86" t="s">
        <v>23</v>
      </c>
      <c r="K86" s="2" t="s">
        <v>26</v>
      </c>
      <c r="L86" t="s">
        <v>17</v>
      </c>
      <c r="M86" t="s">
        <v>24</v>
      </c>
      <c r="N86" t="s">
        <v>19</v>
      </c>
      <c r="O86" t="s">
        <v>23</v>
      </c>
    </row>
    <row r="87" spans="1:15">
      <c r="A87" t="s">
        <v>68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64</v>
      </c>
      <c r="F87" s="2" t="s">
        <v>19</v>
      </c>
      <c r="G87" t="s">
        <v>20</v>
      </c>
      <c r="H87" t="s">
        <v>21</v>
      </c>
      <c r="I87" t="s">
        <v>18</v>
      </c>
      <c r="J87" t="s">
        <v>25</v>
      </c>
      <c r="K87" s="2" t="s">
        <v>19</v>
      </c>
      <c r="L87" t="s">
        <v>20</v>
      </c>
      <c r="M87" t="s">
        <v>21</v>
      </c>
      <c r="N87" t="s">
        <v>18</v>
      </c>
      <c r="O87" t="s">
        <v>25</v>
      </c>
    </row>
    <row r="88" spans="1:15">
      <c r="A88" t="s">
        <v>68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64</v>
      </c>
      <c r="F88" s="2" t="s">
        <v>17</v>
      </c>
      <c r="G88" t="s">
        <v>25</v>
      </c>
      <c r="H88" t="s">
        <v>23</v>
      </c>
      <c r="I88" t="s">
        <v>24</v>
      </c>
      <c r="J88" t="s">
        <v>18</v>
      </c>
      <c r="K88" s="2" t="s">
        <v>17</v>
      </c>
      <c r="L88" t="s">
        <v>25</v>
      </c>
      <c r="M88" t="s">
        <v>23</v>
      </c>
      <c r="N88" t="s">
        <v>24</v>
      </c>
      <c r="O88" t="s">
        <v>18</v>
      </c>
    </row>
    <row r="89" spans="1:15">
      <c r="A89" t="s">
        <v>68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64</v>
      </c>
      <c r="F89" s="2" t="s">
        <v>22</v>
      </c>
      <c r="G89" t="s">
        <v>21</v>
      </c>
      <c r="H89" t="s">
        <v>18</v>
      </c>
      <c r="I89" t="s">
        <v>26</v>
      </c>
      <c r="J89" t="s">
        <v>17</v>
      </c>
      <c r="K89" s="2" t="s">
        <v>22</v>
      </c>
      <c r="L89" t="s">
        <v>21</v>
      </c>
      <c r="M89" t="s">
        <v>18</v>
      </c>
      <c r="N89" t="s">
        <v>26</v>
      </c>
      <c r="O89" t="s">
        <v>17</v>
      </c>
    </row>
    <row r="90" spans="1:15">
      <c r="A90" t="s">
        <v>68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64</v>
      </c>
      <c r="F90" s="2" t="s">
        <v>17</v>
      </c>
      <c r="G90" t="s">
        <v>21</v>
      </c>
      <c r="H90" t="s">
        <v>22</v>
      </c>
      <c r="I90" t="s">
        <v>26</v>
      </c>
      <c r="J90" t="s">
        <v>24</v>
      </c>
      <c r="K90" s="2" t="s">
        <v>17</v>
      </c>
      <c r="L90" t="s">
        <v>21</v>
      </c>
      <c r="M90" t="s">
        <v>22</v>
      </c>
      <c r="N90" t="s">
        <v>26</v>
      </c>
      <c r="O90" t="s">
        <v>24</v>
      </c>
    </row>
    <row r="91" spans="1:15">
      <c r="A91" t="s">
        <v>68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64</v>
      </c>
      <c r="F91" s="2" t="s">
        <v>18</v>
      </c>
      <c r="G91" t="s">
        <v>24</v>
      </c>
      <c r="H91" t="s">
        <v>26</v>
      </c>
      <c r="I91" t="s">
        <v>25</v>
      </c>
      <c r="J91" t="s">
        <v>17</v>
      </c>
      <c r="K91" s="2" t="s">
        <v>18</v>
      </c>
      <c r="L91" t="s">
        <v>24</v>
      </c>
      <c r="M91" t="s">
        <v>26</v>
      </c>
      <c r="N91" t="s">
        <v>25</v>
      </c>
      <c r="O91" t="s">
        <v>17</v>
      </c>
    </row>
    <row r="92" spans="1:15">
      <c r="A92" t="s">
        <v>68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64</v>
      </c>
      <c r="F92" s="2" t="s">
        <v>19</v>
      </c>
      <c r="G92" t="s">
        <v>22</v>
      </c>
      <c r="H92" t="s">
        <v>25</v>
      </c>
      <c r="I92" t="s">
        <v>17</v>
      </c>
      <c r="J92" t="s">
        <v>24</v>
      </c>
    </row>
    <row r="93" spans="1:15">
      <c r="A93" t="s">
        <v>68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64</v>
      </c>
      <c r="F93" s="2" t="s">
        <v>20</v>
      </c>
      <c r="G93" t="s">
        <v>24</v>
      </c>
      <c r="H93" t="s">
        <v>23</v>
      </c>
      <c r="I93" t="s">
        <v>25</v>
      </c>
      <c r="J93" t="s">
        <v>17</v>
      </c>
    </row>
    <row r="94" spans="1:15">
      <c r="A94" t="s">
        <v>68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64</v>
      </c>
      <c r="F94" s="2" t="s">
        <v>18</v>
      </c>
      <c r="G94" t="s">
        <v>17</v>
      </c>
      <c r="H94" t="s">
        <v>25</v>
      </c>
      <c r="I94" t="s">
        <v>22</v>
      </c>
      <c r="J94" t="s">
        <v>19</v>
      </c>
    </row>
    <row r="95" spans="1:15">
      <c r="A95" t="s">
        <v>68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64</v>
      </c>
      <c r="F95" s="2" t="s">
        <v>19</v>
      </c>
      <c r="G95" t="s">
        <v>25</v>
      </c>
      <c r="H95" t="s">
        <v>17</v>
      </c>
      <c r="I95" t="s">
        <v>22</v>
      </c>
      <c r="J95" t="s">
        <v>23</v>
      </c>
    </row>
    <row r="96" spans="1:15">
      <c r="A96" t="s">
        <v>68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64</v>
      </c>
      <c r="F96" s="2" t="s">
        <v>20</v>
      </c>
      <c r="G96" t="s">
        <v>21</v>
      </c>
      <c r="H96" t="s">
        <v>19</v>
      </c>
      <c r="I96" t="s">
        <v>23</v>
      </c>
      <c r="J96" t="s">
        <v>24</v>
      </c>
    </row>
    <row r="97" spans="1:15">
      <c r="A97" t="s">
        <v>68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64</v>
      </c>
      <c r="F97" s="2" t="s">
        <v>19</v>
      </c>
      <c r="G97" t="s">
        <v>22</v>
      </c>
      <c r="H97" t="s">
        <v>25</v>
      </c>
      <c r="I97" t="s">
        <v>18</v>
      </c>
      <c r="J97" t="s">
        <v>26</v>
      </c>
    </row>
    <row r="98" spans="1:15">
      <c r="A98" t="s">
        <v>68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64</v>
      </c>
      <c r="F98" s="2" t="s">
        <v>18</v>
      </c>
      <c r="G98" t="s">
        <v>21</v>
      </c>
      <c r="H98" t="s">
        <v>23</v>
      </c>
      <c r="I98" t="s">
        <v>22</v>
      </c>
      <c r="J98" t="s">
        <v>20</v>
      </c>
    </row>
    <row r="99" spans="1:15">
      <c r="A99" t="s">
        <v>68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64</v>
      </c>
      <c r="F99" s="2" t="s">
        <v>18</v>
      </c>
      <c r="G99" t="s">
        <v>25</v>
      </c>
      <c r="H99" t="s">
        <v>21</v>
      </c>
      <c r="I99" t="s">
        <v>20</v>
      </c>
      <c r="J99" t="s">
        <v>23</v>
      </c>
    </row>
    <row r="100" spans="1:15">
      <c r="A100" t="s">
        <v>68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64</v>
      </c>
      <c r="F100" s="2" t="s">
        <v>26</v>
      </c>
      <c r="G100" t="s">
        <v>22</v>
      </c>
      <c r="H100" t="s">
        <v>17</v>
      </c>
      <c r="I100" t="s">
        <v>25</v>
      </c>
      <c r="J100" t="s">
        <v>24</v>
      </c>
    </row>
    <row r="101" spans="1:15">
      <c r="A101" t="s">
        <v>68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64</v>
      </c>
      <c r="F101" s="2" t="s">
        <v>25</v>
      </c>
      <c r="G101" t="s">
        <v>22</v>
      </c>
      <c r="H101" t="s">
        <v>19</v>
      </c>
      <c r="I101" t="s">
        <v>17</v>
      </c>
      <c r="J101" t="s">
        <v>20</v>
      </c>
    </row>
    <row r="102" spans="1:15">
      <c r="A102" t="s">
        <v>68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64</v>
      </c>
      <c r="F102" s="2" t="s">
        <v>18</v>
      </c>
      <c r="G102" t="s">
        <v>24</v>
      </c>
      <c r="H102" t="s">
        <v>22</v>
      </c>
      <c r="I102" t="s">
        <v>17</v>
      </c>
      <c r="J102" t="s">
        <v>19</v>
      </c>
    </row>
    <row r="103" spans="1:15">
      <c r="A103" t="s">
        <v>68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64</v>
      </c>
      <c r="F103" s="2" t="s">
        <v>17</v>
      </c>
      <c r="G103" t="s">
        <v>23</v>
      </c>
      <c r="H103" t="s">
        <v>24</v>
      </c>
      <c r="I103" t="s">
        <v>20</v>
      </c>
      <c r="J103" t="s">
        <v>18</v>
      </c>
    </row>
    <row r="104" spans="1:15">
      <c r="A104" t="s">
        <v>68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64</v>
      </c>
      <c r="F104" s="2" t="s">
        <v>25</v>
      </c>
      <c r="G104" t="s">
        <v>26</v>
      </c>
      <c r="H104" t="s">
        <v>21</v>
      </c>
      <c r="I104" t="s">
        <v>19</v>
      </c>
      <c r="J104" t="s">
        <v>18</v>
      </c>
    </row>
    <row r="105" spans="1:15">
      <c r="A105" t="s">
        <v>68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64</v>
      </c>
      <c r="F105" s="2" t="s">
        <v>17</v>
      </c>
      <c r="G105" t="s">
        <v>20</v>
      </c>
      <c r="H105" t="s">
        <v>26</v>
      </c>
      <c r="I105" t="s">
        <v>19</v>
      </c>
      <c r="J105" t="s">
        <v>23</v>
      </c>
    </row>
    <row r="106" spans="1:15">
      <c r="A106" t="s">
        <v>68</v>
      </c>
      <c r="B106">
        <f>1/20.9</f>
        <v>4.784688995215311E-2</v>
      </c>
      <c r="C106">
        <f>1/20.9</f>
        <v>4.784688995215311E-2</v>
      </c>
      <c r="D106">
        <v>-0.3</v>
      </c>
      <c r="E106" t="s">
        <v>64</v>
      </c>
      <c r="F106" s="2" t="s">
        <v>26</v>
      </c>
      <c r="G106" t="s">
        <v>23</v>
      </c>
      <c r="H106" t="s">
        <v>17</v>
      </c>
      <c r="I106" t="s">
        <v>25</v>
      </c>
      <c r="J106" t="s">
        <v>21</v>
      </c>
    </row>
    <row r="107" spans="1:15">
      <c r="A107" t="s">
        <v>69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64</v>
      </c>
      <c r="F107" s="2" t="s">
        <v>19</v>
      </c>
      <c r="G107" t="s">
        <v>24</v>
      </c>
      <c r="H107" t="s">
        <v>25</v>
      </c>
      <c r="I107" t="s">
        <v>21</v>
      </c>
      <c r="J107" t="s">
        <v>18</v>
      </c>
      <c r="K107" s="2" t="s">
        <v>19</v>
      </c>
      <c r="L107" t="s">
        <v>24</v>
      </c>
      <c r="O107" t="s">
        <v>18</v>
      </c>
    </row>
    <row r="108" spans="1:15">
      <c r="A108" t="s">
        <v>69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64</v>
      </c>
      <c r="F108" s="2" t="s">
        <v>26</v>
      </c>
      <c r="G108" t="s">
        <v>17</v>
      </c>
      <c r="H108" t="s">
        <v>25</v>
      </c>
      <c r="I108" t="s">
        <v>20</v>
      </c>
      <c r="J108" t="s">
        <v>18</v>
      </c>
    </row>
    <row r="109" spans="1:15">
      <c r="A109" t="s">
        <v>69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64</v>
      </c>
      <c r="F109" s="2" t="s">
        <v>25</v>
      </c>
      <c r="G109" t="s">
        <v>18</v>
      </c>
      <c r="H109" t="s">
        <v>17</v>
      </c>
      <c r="I109" t="s">
        <v>22</v>
      </c>
      <c r="J109" t="s">
        <v>26</v>
      </c>
    </row>
    <row r="110" spans="1:15">
      <c r="A110" t="s">
        <v>69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64</v>
      </c>
      <c r="F110" s="2" t="s">
        <v>25</v>
      </c>
      <c r="G110" t="s">
        <v>17</v>
      </c>
      <c r="H110" t="s">
        <v>21</v>
      </c>
      <c r="I110" t="s">
        <v>22</v>
      </c>
      <c r="J110" t="s">
        <v>19</v>
      </c>
    </row>
    <row r="111" spans="1:15">
      <c r="A111" t="s">
        <v>69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64</v>
      </c>
      <c r="F111" s="2" t="s">
        <v>21</v>
      </c>
      <c r="G111" t="s">
        <v>18</v>
      </c>
      <c r="H111" t="s">
        <v>23</v>
      </c>
      <c r="I111" t="s">
        <v>26</v>
      </c>
      <c r="J111" t="s">
        <v>20</v>
      </c>
    </row>
    <row r="112" spans="1:15">
      <c r="A112" t="s">
        <v>69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64</v>
      </c>
      <c r="F112" s="2" t="s">
        <v>22</v>
      </c>
      <c r="G112" t="s">
        <v>18</v>
      </c>
      <c r="H112" t="s">
        <v>24</v>
      </c>
      <c r="I112" t="s">
        <v>20</v>
      </c>
      <c r="J112" t="s">
        <v>17</v>
      </c>
    </row>
    <row r="113" spans="1:15">
      <c r="A113" t="s">
        <v>69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64</v>
      </c>
      <c r="F113" s="2" t="s">
        <v>17</v>
      </c>
      <c r="G113" t="s">
        <v>18</v>
      </c>
      <c r="H113" t="s">
        <v>23</v>
      </c>
      <c r="I113" t="s">
        <v>22</v>
      </c>
      <c r="J113" t="s">
        <v>26</v>
      </c>
    </row>
    <row r="114" spans="1:15">
      <c r="A114" t="s">
        <v>69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64</v>
      </c>
      <c r="F114" s="2" t="s">
        <v>22</v>
      </c>
      <c r="G114" t="s">
        <v>17</v>
      </c>
      <c r="H114" t="s">
        <v>18</v>
      </c>
      <c r="I114" t="s">
        <v>26</v>
      </c>
      <c r="J114" t="s">
        <v>20</v>
      </c>
    </row>
    <row r="115" spans="1:15">
      <c r="A115" t="s">
        <v>69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64</v>
      </c>
      <c r="F115" s="2" t="s">
        <v>25</v>
      </c>
      <c r="G115" t="s">
        <v>17</v>
      </c>
      <c r="H115" t="s">
        <v>23</v>
      </c>
      <c r="I115" t="s">
        <v>21</v>
      </c>
      <c r="J115" t="s">
        <v>24</v>
      </c>
    </row>
    <row r="116" spans="1:15">
      <c r="A116" t="s">
        <v>69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64</v>
      </c>
      <c r="F116" s="2" t="s">
        <v>21</v>
      </c>
      <c r="G116" t="s">
        <v>26</v>
      </c>
      <c r="H116" t="s">
        <v>17</v>
      </c>
      <c r="I116" t="s">
        <v>18</v>
      </c>
      <c r="J116" t="s">
        <v>20</v>
      </c>
    </row>
    <row r="117" spans="1:15">
      <c r="A117" t="s">
        <v>69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64</v>
      </c>
      <c r="F117" s="2" t="s">
        <v>18</v>
      </c>
      <c r="G117" t="s">
        <v>21</v>
      </c>
      <c r="H117" t="s">
        <v>23</v>
      </c>
      <c r="I117" t="s">
        <v>26</v>
      </c>
      <c r="J117" t="s">
        <v>20</v>
      </c>
    </row>
    <row r="118" spans="1:15">
      <c r="A118" t="s">
        <v>69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64</v>
      </c>
      <c r="F118" s="2" t="s">
        <v>17</v>
      </c>
      <c r="G118" t="s">
        <v>22</v>
      </c>
      <c r="H118" t="s">
        <v>26</v>
      </c>
      <c r="I118" t="s">
        <v>19</v>
      </c>
      <c r="J118" t="s">
        <v>23</v>
      </c>
    </row>
    <row r="119" spans="1:15">
      <c r="A119" t="s">
        <v>69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64</v>
      </c>
      <c r="F119" s="2" t="s">
        <v>22</v>
      </c>
      <c r="G119" t="s">
        <v>24</v>
      </c>
      <c r="H119" t="s">
        <v>25</v>
      </c>
      <c r="I119" t="s">
        <v>20</v>
      </c>
      <c r="J119" t="s">
        <v>26</v>
      </c>
    </row>
    <row r="120" spans="1:15">
      <c r="A120" t="s">
        <v>69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64</v>
      </c>
      <c r="F120" s="2" t="s">
        <v>20</v>
      </c>
      <c r="G120" t="s">
        <v>26</v>
      </c>
      <c r="H120" t="s">
        <v>17</v>
      </c>
      <c r="I120" t="s">
        <v>18</v>
      </c>
      <c r="J120" t="s">
        <v>21</v>
      </c>
    </row>
    <row r="121" spans="1:15">
      <c r="A121" t="s">
        <v>69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64</v>
      </c>
      <c r="F121" s="2" t="s">
        <v>21</v>
      </c>
      <c r="G121" t="s">
        <v>19</v>
      </c>
      <c r="H121" t="s">
        <v>25</v>
      </c>
      <c r="I121" t="s">
        <v>23</v>
      </c>
      <c r="J121" t="s">
        <v>26</v>
      </c>
    </row>
    <row r="122" spans="1:15">
      <c r="A122" t="s">
        <v>69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64</v>
      </c>
      <c r="F122" s="2" t="s">
        <v>22</v>
      </c>
      <c r="G122" t="s">
        <v>23</v>
      </c>
      <c r="H122" t="s">
        <v>20</v>
      </c>
      <c r="I122" t="s">
        <v>21</v>
      </c>
      <c r="J122" t="s">
        <v>26</v>
      </c>
    </row>
    <row r="123" spans="1:15">
      <c r="A123" t="s">
        <v>69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64</v>
      </c>
      <c r="F123" s="2" t="s">
        <v>22</v>
      </c>
      <c r="G123" t="s">
        <v>18</v>
      </c>
      <c r="H123" t="s">
        <v>20</v>
      </c>
      <c r="I123" t="s">
        <v>26</v>
      </c>
      <c r="J123" t="s">
        <v>23</v>
      </c>
    </row>
    <row r="124" spans="1:15">
      <c r="A124" t="s">
        <v>69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64</v>
      </c>
      <c r="F124" s="2" t="s">
        <v>23</v>
      </c>
      <c r="G124" t="s">
        <v>20</v>
      </c>
      <c r="H124" t="s">
        <v>17</v>
      </c>
      <c r="I124" t="s">
        <v>19</v>
      </c>
      <c r="J124" t="s">
        <v>22</v>
      </c>
    </row>
    <row r="125" spans="1:15">
      <c r="A125" t="s">
        <v>69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64</v>
      </c>
      <c r="F125" s="2" t="s">
        <v>21</v>
      </c>
      <c r="G125" t="s">
        <v>17</v>
      </c>
      <c r="H125" t="s">
        <v>25</v>
      </c>
      <c r="I125" t="s">
        <v>18</v>
      </c>
      <c r="J125" t="s">
        <v>26</v>
      </c>
    </row>
    <row r="126" spans="1:15">
      <c r="A126" t="s">
        <v>69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64</v>
      </c>
      <c r="F126" s="2" t="s">
        <v>24</v>
      </c>
      <c r="G126" t="s">
        <v>20</v>
      </c>
      <c r="H126" t="s">
        <v>17</v>
      </c>
      <c r="I126" t="s">
        <v>26</v>
      </c>
      <c r="J126" t="s">
        <v>23</v>
      </c>
    </row>
    <row r="127" spans="1:15">
      <c r="A127" t="s">
        <v>69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64</v>
      </c>
      <c r="F127" s="2" t="s">
        <v>18</v>
      </c>
      <c r="G127" t="s">
        <v>19</v>
      </c>
      <c r="H127" t="s">
        <v>25</v>
      </c>
      <c r="I127" t="s">
        <v>17</v>
      </c>
      <c r="J127" t="s">
        <v>21</v>
      </c>
    </row>
    <row r="128" spans="1:15">
      <c r="A128" t="s">
        <v>70</v>
      </c>
      <c r="B128">
        <f>1/4</f>
        <v>0.25</v>
      </c>
      <c r="C128">
        <v>1</v>
      </c>
      <c r="D128">
        <v>1.7</v>
      </c>
      <c r="E128" t="s">
        <v>64</v>
      </c>
      <c r="F128" t="s">
        <v>22</v>
      </c>
      <c r="G128" t="s">
        <v>19</v>
      </c>
      <c r="H128" t="s">
        <v>25</v>
      </c>
      <c r="I128" t="s">
        <v>26</v>
      </c>
      <c r="J128" t="s">
        <v>23</v>
      </c>
      <c r="K128" t="s">
        <v>22</v>
      </c>
      <c r="L128" t="s">
        <v>19</v>
      </c>
      <c r="M128" t="s">
        <v>25</v>
      </c>
      <c r="N128" t="s">
        <v>26</v>
      </c>
      <c r="O128" t="s">
        <v>23</v>
      </c>
    </row>
    <row r="129" spans="1:15">
      <c r="A129" t="s">
        <v>70</v>
      </c>
      <c r="B129">
        <f t="shared" ref="B129:B148" si="5">1/4</f>
        <v>0.25</v>
      </c>
      <c r="C129">
        <v>1</v>
      </c>
      <c r="D129">
        <v>1.6</v>
      </c>
      <c r="E129" t="s">
        <v>64</v>
      </c>
      <c r="F129" t="s">
        <v>21</v>
      </c>
      <c r="G129" t="s">
        <v>24</v>
      </c>
      <c r="H129" t="s">
        <v>17</v>
      </c>
      <c r="I129" t="s">
        <v>22</v>
      </c>
      <c r="J129" t="s">
        <v>18</v>
      </c>
      <c r="K129" t="s">
        <v>21</v>
      </c>
      <c r="L129" t="s">
        <v>24</v>
      </c>
      <c r="M129" t="s">
        <v>17</v>
      </c>
      <c r="N129" t="s">
        <v>22</v>
      </c>
      <c r="O129" t="s">
        <v>18</v>
      </c>
    </row>
    <row r="130" spans="1:15">
      <c r="A130" t="s">
        <v>70</v>
      </c>
      <c r="B130">
        <f t="shared" si="5"/>
        <v>0.25</v>
      </c>
      <c r="C130">
        <v>1</v>
      </c>
      <c r="D130">
        <v>1.5</v>
      </c>
      <c r="E130" t="s">
        <v>64</v>
      </c>
      <c r="F130" t="s">
        <v>26</v>
      </c>
      <c r="G130" t="s">
        <v>20</v>
      </c>
      <c r="H130" t="s">
        <v>23</v>
      </c>
      <c r="I130" t="s">
        <v>21</v>
      </c>
      <c r="J130" t="s">
        <v>22</v>
      </c>
      <c r="K130" t="s">
        <v>26</v>
      </c>
      <c r="L130" t="s">
        <v>20</v>
      </c>
      <c r="M130" t="s">
        <v>23</v>
      </c>
      <c r="N130" t="s">
        <v>21</v>
      </c>
      <c r="O130" t="s">
        <v>22</v>
      </c>
    </row>
    <row r="131" spans="1:15">
      <c r="A131" t="s">
        <v>70</v>
      </c>
      <c r="B131">
        <f t="shared" si="5"/>
        <v>0.25</v>
      </c>
      <c r="C131">
        <v>1</v>
      </c>
      <c r="D131">
        <v>1.4</v>
      </c>
      <c r="E131" t="s">
        <v>64</v>
      </c>
      <c r="F131" t="s">
        <v>18</v>
      </c>
      <c r="G131" t="s">
        <v>21</v>
      </c>
      <c r="H131" t="s">
        <v>23</v>
      </c>
      <c r="I131" t="s">
        <v>20</v>
      </c>
      <c r="J131" t="s">
        <v>26</v>
      </c>
      <c r="K131" t="s">
        <v>18</v>
      </c>
      <c r="L131" t="s">
        <v>21</v>
      </c>
      <c r="M131" t="s">
        <v>23</v>
      </c>
      <c r="N131" t="s">
        <v>20</v>
      </c>
      <c r="O131" t="s">
        <v>26</v>
      </c>
    </row>
    <row r="132" spans="1:15">
      <c r="A132" t="s">
        <v>70</v>
      </c>
      <c r="B132">
        <f t="shared" si="5"/>
        <v>0.25</v>
      </c>
      <c r="C132">
        <v>1</v>
      </c>
      <c r="D132">
        <v>1.3</v>
      </c>
      <c r="E132" t="s">
        <v>64</v>
      </c>
      <c r="F132" t="s">
        <v>23</v>
      </c>
      <c r="G132" t="s">
        <v>25</v>
      </c>
      <c r="H132" t="s">
        <v>17</v>
      </c>
      <c r="I132" t="s">
        <v>22</v>
      </c>
      <c r="J132" t="s">
        <v>21</v>
      </c>
      <c r="K132" t="s">
        <v>23</v>
      </c>
      <c r="L132" t="s">
        <v>25</v>
      </c>
      <c r="M132" t="s">
        <v>17</v>
      </c>
      <c r="N132" t="s">
        <v>22</v>
      </c>
      <c r="O132" t="s">
        <v>21</v>
      </c>
    </row>
    <row r="133" spans="1:15">
      <c r="A133" t="s">
        <v>70</v>
      </c>
      <c r="B133">
        <f t="shared" si="5"/>
        <v>0.25</v>
      </c>
      <c r="C133">
        <v>1</v>
      </c>
      <c r="D133">
        <v>1.2</v>
      </c>
      <c r="E133" t="s">
        <v>64</v>
      </c>
      <c r="F133" t="s">
        <v>18</v>
      </c>
      <c r="G133" t="s">
        <v>25</v>
      </c>
      <c r="H133" t="s">
        <v>26</v>
      </c>
      <c r="I133" t="s">
        <v>17</v>
      </c>
      <c r="J133" t="s">
        <v>24</v>
      </c>
      <c r="K133" t="s">
        <v>18</v>
      </c>
      <c r="L133" t="s">
        <v>25</v>
      </c>
      <c r="M133" t="s">
        <v>26</v>
      </c>
      <c r="N133" t="s">
        <v>17</v>
      </c>
      <c r="O133" t="s">
        <v>24</v>
      </c>
    </row>
    <row r="134" spans="1:15">
      <c r="A134" t="s">
        <v>70</v>
      </c>
      <c r="B134">
        <f t="shared" si="5"/>
        <v>0.25</v>
      </c>
      <c r="C134">
        <v>1</v>
      </c>
      <c r="D134">
        <v>1.1000000000000001</v>
      </c>
      <c r="E134" t="s">
        <v>64</v>
      </c>
      <c r="F134" t="s">
        <v>23</v>
      </c>
      <c r="G134" t="s">
        <v>20</v>
      </c>
      <c r="H134" t="s">
        <v>22</v>
      </c>
      <c r="I134" t="s">
        <v>19</v>
      </c>
      <c r="J134" t="s">
        <v>26</v>
      </c>
      <c r="K134" t="s">
        <v>23</v>
      </c>
      <c r="L134" t="s">
        <v>20</v>
      </c>
      <c r="M134" t="s">
        <v>22</v>
      </c>
      <c r="N134" t="s">
        <v>19</v>
      </c>
      <c r="O134" t="s">
        <v>26</v>
      </c>
    </row>
    <row r="135" spans="1:15">
      <c r="A135" t="s">
        <v>70</v>
      </c>
      <c r="B135">
        <f t="shared" si="5"/>
        <v>0.25</v>
      </c>
      <c r="C135">
        <v>1</v>
      </c>
      <c r="D135">
        <v>1</v>
      </c>
      <c r="E135" t="s">
        <v>64</v>
      </c>
      <c r="F135" t="s">
        <v>24</v>
      </c>
      <c r="G135" t="s">
        <v>23</v>
      </c>
      <c r="H135" t="s">
        <v>19</v>
      </c>
      <c r="I135" t="s">
        <v>20</v>
      </c>
      <c r="J135" t="s">
        <v>18</v>
      </c>
      <c r="K135" t="s">
        <v>24</v>
      </c>
      <c r="L135" t="s">
        <v>23</v>
      </c>
      <c r="M135" t="s">
        <v>19</v>
      </c>
      <c r="N135" t="s">
        <v>20</v>
      </c>
      <c r="O135" t="s">
        <v>18</v>
      </c>
    </row>
    <row r="136" spans="1:15">
      <c r="A136" t="s">
        <v>70</v>
      </c>
      <c r="B136">
        <f t="shared" si="5"/>
        <v>0.25</v>
      </c>
      <c r="C136">
        <v>1</v>
      </c>
      <c r="D136">
        <v>0.90000000000000102</v>
      </c>
      <c r="E136" t="s">
        <v>64</v>
      </c>
      <c r="F136" t="s">
        <v>25</v>
      </c>
      <c r="G136" t="s">
        <v>26</v>
      </c>
      <c r="H136" t="s">
        <v>20</v>
      </c>
      <c r="I136" t="s">
        <v>24</v>
      </c>
      <c r="J136" t="s">
        <v>17</v>
      </c>
      <c r="K136" t="s">
        <v>25</v>
      </c>
      <c r="L136" t="s">
        <v>26</v>
      </c>
      <c r="M136" t="s">
        <v>20</v>
      </c>
      <c r="N136" t="s">
        <v>24</v>
      </c>
      <c r="O136" t="s">
        <v>17</v>
      </c>
    </row>
    <row r="137" spans="1:15">
      <c r="A137" t="s">
        <v>70</v>
      </c>
      <c r="B137">
        <f t="shared" si="5"/>
        <v>0.25</v>
      </c>
      <c r="C137">
        <v>1</v>
      </c>
      <c r="D137">
        <v>0.80000000000000104</v>
      </c>
      <c r="E137" t="s">
        <v>64</v>
      </c>
      <c r="F137" t="s">
        <v>24</v>
      </c>
      <c r="G137" t="s">
        <v>25</v>
      </c>
      <c r="H137" t="s">
        <v>19</v>
      </c>
      <c r="I137" t="s">
        <v>22</v>
      </c>
      <c r="J137" t="s">
        <v>17</v>
      </c>
      <c r="K137" t="s">
        <v>24</v>
      </c>
      <c r="L137" t="s">
        <v>25</v>
      </c>
      <c r="M137" t="s">
        <v>19</v>
      </c>
      <c r="N137" t="s">
        <v>22</v>
      </c>
      <c r="O137" t="s">
        <v>17</v>
      </c>
    </row>
    <row r="138" spans="1:15">
      <c r="A138" t="s">
        <v>70</v>
      </c>
      <c r="B138">
        <f t="shared" si="5"/>
        <v>0.25</v>
      </c>
      <c r="C138">
        <v>1</v>
      </c>
      <c r="D138">
        <v>0.70000000000000095</v>
      </c>
      <c r="E138" t="s">
        <v>64</v>
      </c>
      <c r="F138" t="s">
        <v>18</v>
      </c>
      <c r="G138" t="s">
        <v>25</v>
      </c>
      <c r="H138" t="s">
        <v>17</v>
      </c>
      <c r="I138" t="s">
        <v>19</v>
      </c>
      <c r="J138" t="s">
        <v>21</v>
      </c>
      <c r="K138" t="s">
        <v>18</v>
      </c>
      <c r="L138" t="s">
        <v>25</v>
      </c>
      <c r="M138" t="s">
        <v>17</v>
      </c>
      <c r="N138" t="s">
        <v>19</v>
      </c>
      <c r="O138" t="s">
        <v>21</v>
      </c>
    </row>
    <row r="139" spans="1:15">
      <c r="A139" t="s">
        <v>70</v>
      </c>
      <c r="B139">
        <f t="shared" si="5"/>
        <v>0.25</v>
      </c>
      <c r="C139">
        <v>1</v>
      </c>
      <c r="D139">
        <v>0.6</v>
      </c>
      <c r="E139" t="s">
        <v>64</v>
      </c>
      <c r="F139" t="s">
        <v>24</v>
      </c>
      <c r="G139" t="s">
        <v>21</v>
      </c>
      <c r="H139" t="s">
        <v>23</v>
      </c>
      <c r="I139" t="s">
        <v>26</v>
      </c>
      <c r="J139" t="s">
        <v>25</v>
      </c>
      <c r="K139" t="s">
        <v>24</v>
      </c>
      <c r="L139" t="s">
        <v>21</v>
      </c>
      <c r="M139" t="s">
        <v>23</v>
      </c>
      <c r="N139" t="s">
        <v>26</v>
      </c>
      <c r="O139" t="s">
        <v>25</v>
      </c>
    </row>
    <row r="140" spans="1:15">
      <c r="A140" t="s">
        <v>70</v>
      </c>
      <c r="B140">
        <f t="shared" si="5"/>
        <v>0.25</v>
      </c>
      <c r="C140">
        <v>1</v>
      </c>
      <c r="D140">
        <v>0.5</v>
      </c>
      <c r="E140" t="s">
        <v>64</v>
      </c>
      <c r="F140" t="s">
        <v>25</v>
      </c>
      <c r="G140" t="s">
        <v>26</v>
      </c>
      <c r="H140" t="s">
        <v>21</v>
      </c>
      <c r="I140" t="s">
        <v>23</v>
      </c>
      <c r="J140" t="s">
        <v>19</v>
      </c>
      <c r="K140" t="s">
        <v>25</v>
      </c>
      <c r="L140" t="s">
        <v>26</v>
      </c>
      <c r="M140" t="s">
        <v>21</v>
      </c>
      <c r="N140" t="s">
        <v>23</v>
      </c>
      <c r="O140" t="s">
        <v>19</v>
      </c>
    </row>
    <row r="141" spans="1:15">
      <c r="A141" t="s">
        <v>70</v>
      </c>
      <c r="B141">
        <f t="shared" si="5"/>
        <v>0.25</v>
      </c>
      <c r="C141">
        <v>1</v>
      </c>
      <c r="D141">
        <v>0.4</v>
      </c>
      <c r="E141" t="s">
        <v>64</v>
      </c>
      <c r="F141" t="s">
        <v>26</v>
      </c>
      <c r="G141" t="s">
        <v>18</v>
      </c>
      <c r="H141" t="s">
        <v>17</v>
      </c>
      <c r="I141" t="s">
        <v>24</v>
      </c>
      <c r="J141" t="s">
        <v>19</v>
      </c>
      <c r="K141" t="s">
        <v>26</v>
      </c>
      <c r="L141" t="s">
        <v>18</v>
      </c>
      <c r="M141" t="s">
        <v>17</v>
      </c>
      <c r="N141" t="s">
        <v>24</v>
      </c>
      <c r="O141" t="s">
        <v>19</v>
      </c>
    </row>
    <row r="142" spans="1:15">
      <c r="A142" t="s">
        <v>70</v>
      </c>
      <c r="B142">
        <f t="shared" si="5"/>
        <v>0.25</v>
      </c>
      <c r="C142">
        <v>1</v>
      </c>
      <c r="D142">
        <v>0.3</v>
      </c>
      <c r="E142" t="s">
        <v>64</v>
      </c>
      <c r="F142" t="s">
        <v>17</v>
      </c>
      <c r="G142" t="s">
        <v>21</v>
      </c>
      <c r="H142" t="s">
        <v>23</v>
      </c>
      <c r="I142" t="s">
        <v>20</v>
      </c>
      <c r="J142" t="s">
        <v>18</v>
      </c>
      <c r="K142" t="s">
        <v>17</v>
      </c>
      <c r="L142" t="s">
        <v>21</v>
      </c>
      <c r="M142" t="s">
        <v>23</v>
      </c>
      <c r="N142" t="s">
        <v>20</v>
      </c>
      <c r="O142" t="s">
        <v>18</v>
      </c>
    </row>
    <row r="143" spans="1:15">
      <c r="A143" t="s">
        <v>70</v>
      </c>
      <c r="B143">
        <f t="shared" si="5"/>
        <v>0.25</v>
      </c>
      <c r="C143">
        <v>1</v>
      </c>
      <c r="D143">
        <v>0.2</v>
      </c>
      <c r="E143" t="s">
        <v>64</v>
      </c>
      <c r="F143" t="s">
        <v>18</v>
      </c>
      <c r="G143" t="s">
        <v>19</v>
      </c>
      <c r="H143" t="s">
        <v>22</v>
      </c>
      <c r="I143" t="s">
        <v>26</v>
      </c>
      <c r="J143" t="s">
        <v>20</v>
      </c>
      <c r="K143" t="s">
        <v>18</v>
      </c>
      <c r="M143" t="s">
        <v>22</v>
      </c>
      <c r="N143" t="s">
        <v>26</v>
      </c>
    </row>
    <row r="144" spans="1:15">
      <c r="A144" t="s">
        <v>70</v>
      </c>
      <c r="B144">
        <f t="shared" si="5"/>
        <v>0.25</v>
      </c>
      <c r="C144">
        <v>1</v>
      </c>
      <c r="D144">
        <v>9.9999999999999895E-2</v>
      </c>
      <c r="E144" t="s">
        <v>64</v>
      </c>
      <c r="F144" t="s">
        <v>17</v>
      </c>
      <c r="G144" t="s">
        <v>26</v>
      </c>
      <c r="H144" t="s">
        <v>20</v>
      </c>
      <c r="I144" t="s">
        <v>25</v>
      </c>
      <c r="J144" t="s">
        <v>19</v>
      </c>
      <c r="L144" t="s">
        <v>26</v>
      </c>
      <c r="M144" t="s">
        <v>20</v>
      </c>
    </row>
    <row r="145" spans="1:15">
      <c r="A145" t="s">
        <v>70</v>
      </c>
      <c r="B145">
        <f t="shared" si="5"/>
        <v>0.25</v>
      </c>
      <c r="C145">
        <v>1</v>
      </c>
      <c r="D145">
        <v>0</v>
      </c>
      <c r="E145" t="s">
        <v>64</v>
      </c>
      <c r="F145" t="s">
        <v>18</v>
      </c>
      <c r="G145" t="s">
        <v>22</v>
      </c>
      <c r="H145" t="s">
        <v>19</v>
      </c>
      <c r="I145" t="s">
        <v>26</v>
      </c>
      <c r="J145" t="s">
        <v>17</v>
      </c>
    </row>
    <row r="146" spans="1:15">
      <c r="A146" t="s">
        <v>70</v>
      </c>
      <c r="B146">
        <f t="shared" si="5"/>
        <v>0.25</v>
      </c>
      <c r="C146">
        <v>1</v>
      </c>
      <c r="D146">
        <v>-0.1</v>
      </c>
      <c r="E146" t="s">
        <v>64</v>
      </c>
      <c r="F146" t="s">
        <v>21</v>
      </c>
      <c r="G146" t="s">
        <v>26</v>
      </c>
      <c r="H146" t="s">
        <v>19</v>
      </c>
      <c r="I146" t="s">
        <v>24</v>
      </c>
      <c r="J146" t="s">
        <v>25</v>
      </c>
    </row>
    <row r="147" spans="1:15">
      <c r="A147" t="s">
        <v>70</v>
      </c>
      <c r="B147">
        <f t="shared" si="5"/>
        <v>0.25</v>
      </c>
      <c r="C147">
        <v>1</v>
      </c>
      <c r="D147">
        <v>-0.2</v>
      </c>
      <c r="E147" t="s">
        <v>64</v>
      </c>
      <c r="F147" t="s">
        <v>24</v>
      </c>
      <c r="G147" t="s">
        <v>22</v>
      </c>
      <c r="H147" t="s">
        <v>19</v>
      </c>
      <c r="I147" t="s">
        <v>23</v>
      </c>
      <c r="J147" t="s">
        <v>20</v>
      </c>
    </row>
    <row r="148" spans="1:15">
      <c r="A148" t="s">
        <v>70</v>
      </c>
      <c r="B148">
        <f t="shared" si="5"/>
        <v>0.25</v>
      </c>
      <c r="C148">
        <v>1</v>
      </c>
      <c r="D148">
        <v>-0.3</v>
      </c>
      <c r="E148" t="s">
        <v>64</v>
      </c>
      <c r="F148" t="s">
        <v>20</v>
      </c>
      <c r="G148" t="s">
        <v>26</v>
      </c>
      <c r="H148" t="s">
        <v>17</v>
      </c>
      <c r="I148" t="s">
        <v>23</v>
      </c>
      <c r="J148" t="s">
        <v>24</v>
      </c>
    </row>
    <row r="149" spans="1:15">
      <c r="A149" t="s">
        <v>71</v>
      </c>
      <c r="B149">
        <f>1/7.49</f>
        <v>0.13351134846461948</v>
      </c>
      <c r="C149">
        <f>4/7.49</f>
        <v>0.53404539385847793</v>
      </c>
      <c r="D149">
        <v>1.7</v>
      </c>
      <c r="E149" t="s">
        <v>64</v>
      </c>
      <c r="F149" t="s">
        <v>23</v>
      </c>
      <c r="G149" t="s">
        <v>21</v>
      </c>
      <c r="H149" t="s">
        <v>20</v>
      </c>
      <c r="I149" t="s">
        <v>17</v>
      </c>
      <c r="J149" t="s">
        <v>18</v>
      </c>
      <c r="K149" t="s">
        <v>23</v>
      </c>
      <c r="L149" t="s">
        <v>21</v>
      </c>
      <c r="M149" t="s">
        <v>20</v>
      </c>
      <c r="N149" t="s">
        <v>17</v>
      </c>
      <c r="O149" t="s">
        <v>18</v>
      </c>
    </row>
    <row r="150" spans="1:15">
      <c r="A150" t="s">
        <v>71</v>
      </c>
      <c r="B150">
        <f t="shared" ref="B150:B169" si="6">1/7.49</f>
        <v>0.13351134846461948</v>
      </c>
      <c r="C150">
        <f t="shared" ref="C150:C169" si="7">4/7.49</f>
        <v>0.53404539385847793</v>
      </c>
      <c r="D150">
        <v>1.6</v>
      </c>
      <c r="E150" t="s">
        <v>64</v>
      </c>
      <c r="F150" t="s">
        <v>24</v>
      </c>
      <c r="G150" t="s">
        <v>21</v>
      </c>
      <c r="H150" t="s">
        <v>25</v>
      </c>
      <c r="I150" t="s">
        <v>23</v>
      </c>
      <c r="J150" t="s">
        <v>26</v>
      </c>
      <c r="K150" t="s">
        <v>24</v>
      </c>
      <c r="L150" t="s">
        <v>21</v>
      </c>
      <c r="M150" t="s">
        <v>25</v>
      </c>
      <c r="N150" t="s">
        <v>23</v>
      </c>
      <c r="O150" t="s">
        <v>26</v>
      </c>
    </row>
    <row r="151" spans="1:15">
      <c r="A151" t="s">
        <v>71</v>
      </c>
      <c r="B151">
        <f t="shared" si="6"/>
        <v>0.13351134846461948</v>
      </c>
      <c r="C151">
        <f t="shared" si="7"/>
        <v>0.53404539385847793</v>
      </c>
      <c r="D151">
        <v>1.5</v>
      </c>
      <c r="E151" t="s">
        <v>64</v>
      </c>
      <c r="F151" t="s">
        <v>24</v>
      </c>
      <c r="G151" t="s">
        <v>22</v>
      </c>
      <c r="H151" t="s">
        <v>19</v>
      </c>
      <c r="I151" t="s">
        <v>23</v>
      </c>
      <c r="J151" t="s">
        <v>17</v>
      </c>
      <c r="K151" t="s">
        <v>24</v>
      </c>
      <c r="L151" t="s">
        <v>22</v>
      </c>
      <c r="M151" t="s">
        <v>19</v>
      </c>
      <c r="N151" t="s">
        <v>23</v>
      </c>
      <c r="O151" t="s">
        <v>17</v>
      </c>
    </row>
    <row r="152" spans="1:15">
      <c r="A152" t="s">
        <v>71</v>
      </c>
      <c r="B152">
        <f t="shared" si="6"/>
        <v>0.13351134846461948</v>
      </c>
      <c r="C152">
        <f t="shared" si="7"/>
        <v>0.53404539385847793</v>
      </c>
      <c r="D152">
        <v>1.4</v>
      </c>
      <c r="E152" t="s">
        <v>64</v>
      </c>
      <c r="F152" t="s">
        <v>21</v>
      </c>
      <c r="G152" t="s">
        <v>26</v>
      </c>
      <c r="H152" t="s">
        <v>20</v>
      </c>
      <c r="I152" t="s">
        <v>24</v>
      </c>
      <c r="J152" t="s">
        <v>19</v>
      </c>
      <c r="K152" t="s">
        <v>21</v>
      </c>
      <c r="L152" t="s">
        <v>26</v>
      </c>
      <c r="M152" t="s">
        <v>20</v>
      </c>
      <c r="N152" t="s">
        <v>24</v>
      </c>
      <c r="O152" t="s">
        <v>19</v>
      </c>
    </row>
    <row r="153" spans="1:15">
      <c r="A153" t="s">
        <v>71</v>
      </c>
      <c r="B153">
        <f t="shared" si="6"/>
        <v>0.13351134846461948</v>
      </c>
      <c r="C153">
        <f t="shared" si="7"/>
        <v>0.53404539385847793</v>
      </c>
      <c r="D153">
        <v>1.3</v>
      </c>
      <c r="E153" t="s">
        <v>64</v>
      </c>
      <c r="F153" t="s">
        <v>18</v>
      </c>
      <c r="G153" t="s">
        <v>23</v>
      </c>
      <c r="H153" t="s">
        <v>19</v>
      </c>
      <c r="I153" t="s">
        <v>24</v>
      </c>
      <c r="J153" t="s">
        <v>17</v>
      </c>
      <c r="K153" t="s">
        <v>18</v>
      </c>
      <c r="L153" t="s">
        <v>23</v>
      </c>
      <c r="M153" t="s">
        <v>19</v>
      </c>
      <c r="N153" t="s">
        <v>24</v>
      </c>
      <c r="O153" t="s">
        <v>17</v>
      </c>
    </row>
    <row r="154" spans="1:15">
      <c r="A154" t="s">
        <v>71</v>
      </c>
      <c r="B154">
        <f t="shared" si="6"/>
        <v>0.13351134846461948</v>
      </c>
      <c r="C154">
        <f t="shared" si="7"/>
        <v>0.53404539385847793</v>
      </c>
      <c r="D154">
        <v>1.2</v>
      </c>
      <c r="E154" t="s">
        <v>64</v>
      </c>
      <c r="F154" t="s">
        <v>24</v>
      </c>
      <c r="G154" t="s">
        <v>20</v>
      </c>
      <c r="H154" t="s">
        <v>25</v>
      </c>
      <c r="I154" t="s">
        <v>21</v>
      </c>
      <c r="J154" t="s">
        <v>17</v>
      </c>
      <c r="K154" t="s">
        <v>24</v>
      </c>
      <c r="L154" t="s">
        <v>20</v>
      </c>
      <c r="M154" t="s">
        <v>25</v>
      </c>
      <c r="N154" t="s">
        <v>21</v>
      </c>
      <c r="O154" t="s">
        <v>17</v>
      </c>
    </row>
    <row r="155" spans="1:15">
      <c r="A155" t="s">
        <v>71</v>
      </c>
      <c r="B155">
        <f t="shared" si="6"/>
        <v>0.13351134846461948</v>
      </c>
      <c r="C155">
        <f t="shared" si="7"/>
        <v>0.53404539385847793</v>
      </c>
      <c r="D155">
        <v>1.1000000000000001</v>
      </c>
      <c r="E155" t="s">
        <v>64</v>
      </c>
      <c r="F155" t="s">
        <v>19</v>
      </c>
      <c r="G155" t="s">
        <v>22</v>
      </c>
      <c r="H155" t="s">
        <v>17</v>
      </c>
      <c r="I155" t="s">
        <v>26</v>
      </c>
      <c r="J155" t="s">
        <v>25</v>
      </c>
      <c r="K155" t="s">
        <v>19</v>
      </c>
      <c r="L155" t="s">
        <v>22</v>
      </c>
      <c r="M155" t="s">
        <v>17</v>
      </c>
      <c r="N155" t="s">
        <v>26</v>
      </c>
      <c r="O155" t="s">
        <v>25</v>
      </c>
    </row>
    <row r="156" spans="1:15">
      <c r="A156" t="s">
        <v>71</v>
      </c>
      <c r="B156">
        <f t="shared" si="6"/>
        <v>0.13351134846461948</v>
      </c>
      <c r="C156">
        <f t="shared" si="7"/>
        <v>0.53404539385847793</v>
      </c>
      <c r="D156">
        <v>1</v>
      </c>
      <c r="E156" t="s">
        <v>64</v>
      </c>
      <c r="F156" t="s">
        <v>18</v>
      </c>
      <c r="G156" t="s">
        <v>24</v>
      </c>
      <c r="H156" t="s">
        <v>26</v>
      </c>
      <c r="I156" t="s">
        <v>21</v>
      </c>
      <c r="J156" t="s">
        <v>22</v>
      </c>
      <c r="K156" t="s">
        <v>18</v>
      </c>
      <c r="L156" t="s">
        <v>24</v>
      </c>
      <c r="M156" t="s">
        <v>26</v>
      </c>
      <c r="N156" t="s">
        <v>21</v>
      </c>
      <c r="O156" t="s">
        <v>22</v>
      </c>
    </row>
    <row r="157" spans="1:15">
      <c r="A157" t="s">
        <v>71</v>
      </c>
      <c r="B157">
        <f t="shared" si="6"/>
        <v>0.13351134846461948</v>
      </c>
      <c r="C157">
        <f t="shared" si="7"/>
        <v>0.53404539385847793</v>
      </c>
      <c r="D157">
        <v>0.90000000000000102</v>
      </c>
      <c r="E157" t="s">
        <v>64</v>
      </c>
      <c r="F157" t="s">
        <v>22</v>
      </c>
      <c r="G157" t="s">
        <v>24</v>
      </c>
      <c r="H157" t="s">
        <v>17</v>
      </c>
      <c r="I157" t="s">
        <v>18</v>
      </c>
      <c r="J157" t="s">
        <v>19</v>
      </c>
      <c r="K157" t="s">
        <v>22</v>
      </c>
      <c r="L157" t="s">
        <v>24</v>
      </c>
      <c r="M157" t="s">
        <v>17</v>
      </c>
      <c r="N157" t="s">
        <v>18</v>
      </c>
      <c r="O157" t="s">
        <v>19</v>
      </c>
    </row>
    <row r="158" spans="1:15">
      <c r="A158" t="s">
        <v>71</v>
      </c>
      <c r="B158">
        <f t="shared" si="6"/>
        <v>0.13351134846461948</v>
      </c>
      <c r="C158">
        <f t="shared" si="7"/>
        <v>0.53404539385847793</v>
      </c>
      <c r="D158">
        <v>0.80000000000000104</v>
      </c>
      <c r="E158" t="s">
        <v>64</v>
      </c>
      <c r="F158" t="s">
        <v>24</v>
      </c>
      <c r="G158" t="s">
        <v>23</v>
      </c>
      <c r="H158" t="s">
        <v>20</v>
      </c>
      <c r="I158" t="s">
        <v>25</v>
      </c>
      <c r="J158" t="s">
        <v>17</v>
      </c>
      <c r="K158" t="s">
        <v>24</v>
      </c>
      <c r="L158" t="s">
        <v>23</v>
      </c>
      <c r="M158" t="s">
        <v>20</v>
      </c>
      <c r="N158" t="s">
        <v>25</v>
      </c>
      <c r="O158" t="s">
        <v>17</v>
      </c>
    </row>
    <row r="159" spans="1:15">
      <c r="A159" t="s">
        <v>71</v>
      </c>
      <c r="B159">
        <f t="shared" si="6"/>
        <v>0.13351134846461948</v>
      </c>
      <c r="C159">
        <f t="shared" si="7"/>
        <v>0.53404539385847793</v>
      </c>
      <c r="D159">
        <v>0.70000000000000095</v>
      </c>
      <c r="E159" t="s">
        <v>64</v>
      </c>
      <c r="F159" t="s">
        <v>25</v>
      </c>
      <c r="G159" t="s">
        <v>19</v>
      </c>
      <c r="H159" t="s">
        <v>23</v>
      </c>
      <c r="I159" t="s">
        <v>21</v>
      </c>
      <c r="J159" t="s">
        <v>24</v>
      </c>
      <c r="K159" t="s">
        <v>25</v>
      </c>
      <c r="L159" t="s">
        <v>19</v>
      </c>
      <c r="M159" t="s">
        <v>23</v>
      </c>
      <c r="N159" t="s">
        <v>21</v>
      </c>
      <c r="O159" t="s">
        <v>24</v>
      </c>
    </row>
    <row r="160" spans="1:15">
      <c r="A160" t="s">
        <v>71</v>
      </c>
      <c r="B160">
        <f t="shared" si="6"/>
        <v>0.13351134846461948</v>
      </c>
      <c r="C160">
        <f t="shared" si="7"/>
        <v>0.53404539385847793</v>
      </c>
      <c r="D160">
        <v>0.6</v>
      </c>
      <c r="E160" t="s">
        <v>64</v>
      </c>
      <c r="F160" t="s">
        <v>21</v>
      </c>
      <c r="G160" t="s">
        <v>17</v>
      </c>
      <c r="H160" t="s">
        <v>22</v>
      </c>
      <c r="I160" t="s">
        <v>26</v>
      </c>
      <c r="J160" t="s">
        <v>18</v>
      </c>
      <c r="K160" t="s">
        <v>21</v>
      </c>
      <c r="L160" t="s">
        <v>17</v>
      </c>
      <c r="M160" t="s">
        <v>22</v>
      </c>
      <c r="N160" t="s">
        <v>26</v>
      </c>
      <c r="O160" t="s">
        <v>18</v>
      </c>
    </row>
    <row r="161" spans="1:15">
      <c r="A161" t="s">
        <v>71</v>
      </c>
      <c r="B161">
        <f t="shared" si="6"/>
        <v>0.13351134846461948</v>
      </c>
      <c r="C161">
        <f t="shared" si="7"/>
        <v>0.53404539385847793</v>
      </c>
      <c r="D161">
        <v>0.5</v>
      </c>
      <c r="E161" t="s">
        <v>64</v>
      </c>
      <c r="F161" t="s">
        <v>25</v>
      </c>
      <c r="G161" t="s">
        <v>26</v>
      </c>
      <c r="H161" t="s">
        <v>17</v>
      </c>
      <c r="I161" t="s">
        <v>20</v>
      </c>
      <c r="J161" t="s">
        <v>23</v>
      </c>
      <c r="K161" t="s">
        <v>25</v>
      </c>
      <c r="L161" t="s">
        <v>26</v>
      </c>
    </row>
    <row r="162" spans="1:15">
      <c r="A162" t="s">
        <v>71</v>
      </c>
      <c r="B162">
        <f t="shared" si="6"/>
        <v>0.13351134846461948</v>
      </c>
      <c r="C162">
        <f t="shared" si="7"/>
        <v>0.53404539385847793</v>
      </c>
      <c r="D162">
        <v>0.4</v>
      </c>
      <c r="E162" t="s">
        <v>64</v>
      </c>
      <c r="F162" t="s">
        <v>22</v>
      </c>
      <c r="G162" t="s">
        <v>21</v>
      </c>
      <c r="H162" t="s">
        <v>25</v>
      </c>
      <c r="I162" t="s">
        <v>24</v>
      </c>
      <c r="J162" t="s">
        <v>19</v>
      </c>
    </row>
    <row r="163" spans="1:15">
      <c r="A163" t="s">
        <v>71</v>
      </c>
      <c r="B163">
        <f t="shared" si="6"/>
        <v>0.13351134846461948</v>
      </c>
      <c r="C163">
        <f t="shared" si="7"/>
        <v>0.53404539385847793</v>
      </c>
      <c r="D163">
        <v>0.3</v>
      </c>
      <c r="E163" t="s">
        <v>64</v>
      </c>
      <c r="F163" t="s">
        <v>23</v>
      </c>
      <c r="G163" t="s">
        <v>22</v>
      </c>
      <c r="H163" t="s">
        <v>24</v>
      </c>
      <c r="I163" t="s">
        <v>21</v>
      </c>
      <c r="J163" t="s">
        <v>19</v>
      </c>
    </row>
    <row r="164" spans="1:15">
      <c r="A164" t="s">
        <v>71</v>
      </c>
      <c r="B164">
        <f t="shared" si="6"/>
        <v>0.13351134846461948</v>
      </c>
      <c r="C164">
        <f t="shared" si="7"/>
        <v>0.53404539385847793</v>
      </c>
      <c r="D164">
        <v>0.2</v>
      </c>
      <c r="E164" t="s">
        <v>64</v>
      </c>
      <c r="F164" t="s">
        <v>24</v>
      </c>
      <c r="G164" t="s">
        <v>22</v>
      </c>
      <c r="H164" t="s">
        <v>21</v>
      </c>
      <c r="I164" t="s">
        <v>26</v>
      </c>
      <c r="J164" t="s">
        <v>25</v>
      </c>
    </row>
    <row r="165" spans="1:15">
      <c r="A165" t="s">
        <v>71</v>
      </c>
      <c r="B165">
        <f t="shared" si="6"/>
        <v>0.13351134846461948</v>
      </c>
      <c r="C165">
        <f t="shared" si="7"/>
        <v>0.53404539385847793</v>
      </c>
      <c r="D165">
        <v>9.9999999999999895E-2</v>
      </c>
      <c r="E165" t="s">
        <v>64</v>
      </c>
      <c r="F165" t="s">
        <v>26</v>
      </c>
      <c r="G165" t="s">
        <v>19</v>
      </c>
      <c r="H165" t="s">
        <v>23</v>
      </c>
      <c r="I165" t="s">
        <v>17</v>
      </c>
      <c r="J165" t="s">
        <v>24</v>
      </c>
    </row>
    <row r="166" spans="1:15">
      <c r="A166" t="s">
        <v>71</v>
      </c>
      <c r="B166">
        <f t="shared" si="6"/>
        <v>0.13351134846461948</v>
      </c>
      <c r="C166">
        <f t="shared" si="7"/>
        <v>0.53404539385847793</v>
      </c>
      <c r="D166">
        <v>0</v>
      </c>
      <c r="E166" t="s">
        <v>64</v>
      </c>
      <c r="F166" t="s">
        <v>18</v>
      </c>
      <c r="G166" t="s">
        <v>24</v>
      </c>
      <c r="H166" t="s">
        <v>21</v>
      </c>
      <c r="I166" t="s">
        <v>23</v>
      </c>
      <c r="J166" t="s">
        <v>22</v>
      </c>
    </row>
    <row r="167" spans="1:15">
      <c r="A167" t="s">
        <v>71</v>
      </c>
      <c r="B167">
        <f t="shared" si="6"/>
        <v>0.13351134846461948</v>
      </c>
      <c r="C167">
        <f t="shared" si="7"/>
        <v>0.53404539385847793</v>
      </c>
      <c r="D167">
        <v>-0.1</v>
      </c>
      <c r="E167" t="s">
        <v>64</v>
      </c>
      <c r="F167" t="s">
        <v>24</v>
      </c>
      <c r="G167" t="s">
        <v>22</v>
      </c>
      <c r="H167" t="s">
        <v>26</v>
      </c>
      <c r="I167" t="s">
        <v>17</v>
      </c>
      <c r="J167" t="s">
        <v>25</v>
      </c>
    </row>
    <row r="168" spans="1:15">
      <c r="A168" t="s">
        <v>71</v>
      </c>
      <c r="B168">
        <f t="shared" si="6"/>
        <v>0.13351134846461948</v>
      </c>
      <c r="C168">
        <f t="shared" si="7"/>
        <v>0.53404539385847793</v>
      </c>
      <c r="D168">
        <v>-0.2</v>
      </c>
      <c r="E168" t="s">
        <v>64</v>
      </c>
      <c r="F168" t="s">
        <v>17</v>
      </c>
      <c r="G168" t="s">
        <v>22</v>
      </c>
      <c r="H168" t="s">
        <v>26</v>
      </c>
      <c r="I168" t="s">
        <v>19</v>
      </c>
      <c r="J168" t="s">
        <v>24</v>
      </c>
    </row>
    <row r="169" spans="1:15">
      <c r="A169" t="s">
        <v>71</v>
      </c>
      <c r="B169">
        <f t="shared" si="6"/>
        <v>0.13351134846461948</v>
      </c>
      <c r="C169">
        <f t="shared" si="7"/>
        <v>0.53404539385847793</v>
      </c>
      <c r="D169">
        <v>-0.3</v>
      </c>
      <c r="E169" t="s">
        <v>64</v>
      </c>
      <c r="F169" t="s">
        <v>18</v>
      </c>
      <c r="G169" t="s">
        <v>24</v>
      </c>
      <c r="H169" t="s">
        <v>21</v>
      </c>
      <c r="I169" t="s">
        <v>22</v>
      </c>
      <c r="J169" t="s">
        <v>17</v>
      </c>
    </row>
    <row r="170" spans="1:15">
      <c r="A170" t="s">
        <v>72</v>
      </c>
      <c r="B170">
        <f>1/13.92</f>
        <v>7.183908045977011E-2</v>
      </c>
      <c r="C170">
        <f>4/13.92</f>
        <v>0.28735632183908044</v>
      </c>
      <c r="D170">
        <v>1.7</v>
      </c>
      <c r="E170" t="s">
        <v>64</v>
      </c>
      <c r="F170" t="s">
        <v>20</v>
      </c>
      <c r="G170" t="s">
        <v>18</v>
      </c>
      <c r="H170" t="s">
        <v>25</v>
      </c>
      <c r="I170" t="s">
        <v>22</v>
      </c>
      <c r="J170" t="s">
        <v>21</v>
      </c>
      <c r="K170" t="s">
        <v>20</v>
      </c>
      <c r="L170" t="s">
        <v>18</v>
      </c>
      <c r="M170" t="s">
        <v>25</v>
      </c>
      <c r="N170" t="s">
        <v>22</v>
      </c>
      <c r="O170" t="s">
        <v>21</v>
      </c>
    </row>
    <row r="171" spans="1:15">
      <c r="A171" t="s">
        <v>72</v>
      </c>
      <c r="B171">
        <f t="shared" ref="B171:B190" si="8">1/13.92</f>
        <v>7.183908045977011E-2</v>
      </c>
      <c r="C171">
        <f t="shared" ref="C171:C190" si="9">4/13.92</f>
        <v>0.28735632183908044</v>
      </c>
      <c r="D171">
        <v>1.6</v>
      </c>
      <c r="E171" t="s">
        <v>64</v>
      </c>
      <c r="F171" t="s">
        <v>26</v>
      </c>
      <c r="G171" t="s">
        <v>19</v>
      </c>
      <c r="H171" t="s">
        <v>23</v>
      </c>
      <c r="I171" t="s">
        <v>20</v>
      </c>
      <c r="J171" t="s">
        <v>25</v>
      </c>
      <c r="K171" t="s">
        <v>26</v>
      </c>
      <c r="L171" t="s">
        <v>19</v>
      </c>
      <c r="M171" t="s">
        <v>23</v>
      </c>
      <c r="N171" t="s">
        <v>20</v>
      </c>
      <c r="O171" t="s">
        <v>25</v>
      </c>
    </row>
    <row r="172" spans="1:15">
      <c r="A172" t="s">
        <v>72</v>
      </c>
      <c r="B172">
        <f t="shared" si="8"/>
        <v>7.183908045977011E-2</v>
      </c>
      <c r="C172">
        <f t="shared" si="9"/>
        <v>0.28735632183908044</v>
      </c>
      <c r="D172">
        <v>1.5</v>
      </c>
      <c r="E172" t="s">
        <v>64</v>
      </c>
      <c r="F172" t="s">
        <v>22</v>
      </c>
      <c r="G172" t="s">
        <v>18</v>
      </c>
      <c r="H172" t="s">
        <v>20</v>
      </c>
      <c r="I172" t="s">
        <v>23</v>
      </c>
      <c r="J172" t="s">
        <v>17</v>
      </c>
      <c r="K172" t="s">
        <v>22</v>
      </c>
      <c r="L172" t="s">
        <v>18</v>
      </c>
      <c r="M172" t="s">
        <v>20</v>
      </c>
      <c r="N172" t="s">
        <v>23</v>
      </c>
      <c r="O172" t="s">
        <v>17</v>
      </c>
    </row>
    <row r="173" spans="1:15">
      <c r="A173" t="s">
        <v>72</v>
      </c>
      <c r="B173">
        <f t="shared" si="8"/>
        <v>7.183908045977011E-2</v>
      </c>
      <c r="C173">
        <f t="shared" si="9"/>
        <v>0.28735632183908044</v>
      </c>
      <c r="D173">
        <v>1.4</v>
      </c>
      <c r="E173" t="s">
        <v>64</v>
      </c>
      <c r="F173" t="s">
        <v>26</v>
      </c>
      <c r="G173" t="s">
        <v>18</v>
      </c>
      <c r="H173" t="s">
        <v>22</v>
      </c>
      <c r="I173" t="s">
        <v>24</v>
      </c>
      <c r="J173" t="s">
        <v>19</v>
      </c>
      <c r="K173" t="s">
        <v>26</v>
      </c>
      <c r="L173" t="s">
        <v>18</v>
      </c>
      <c r="M173" t="s">
        <v>22</v>
      </c>
      <c r="N173" t="s">
        <v>24</v>
      </c>
      <c r="O173" t="s">
        <v>19</v>
      </c>
    </row>
    <row r="174" spans="1:15">
      <c r="A174" t="s">
        <v>72</v>
      </c>
      <c r="B174">
        <f t="shared" si="8"/>
        <v>7.183908045977011E-2</v>
      </c>
      <c r="C174">
        <f t="shared" si="9"/>
        <v>0.28735632183908044</v>
      </c>
      <c r="D174">
        <v>1.3</v>
      </c>
      <c r="E174" t="s">
        <v>64</v>
      </c>
      <c r="F174" t="s">
        <v>22</v>
      </c>
      <c r="G174" t="s">
        <v>17</v>
      </c>
      <c r="H174" t="s">
        <v>25</v>
      </c>
      <c r="I174" t="s">
        <v>23</v>
      </c>
      <c r="J174" t="s">
        <v>19</v>
      </c>
      <c r="K174" t="s">
        <v>22</v>
      </c>
      <c r="L174" t="s">
        <v>17</v>
      </c>
      <c r="M174" t="s">
        <v>25</v>
      </c>
      <c r="N174" t="s">
        <v>23</v>
      </c>
      <c r="O174" t="s">
        <v>19</v>
      </c>
    </row>
    <row r="175" spans="1:15">
      <c r="A175" t="s">
        <v>72</v>
      </c>
      <c r="B175">
        <f t="shared" si="8"/>
        <v>7.183908045977011E-2</v>
      </c>
      <c r="C175">
        <f t="shared" si="9"/>
        <v>0.28735632183908044</v>
      </c>
      <c r="D175">
        <v>1.2</v>
      </c>
      <c r="E175" t="s">
        <v>64</v>
      </c>
      <c r="F175" t="s">
        <v>23</v>
      </c>
      <c r="G175" t="s">
        <v>17</v>
      </c>
      <c r="H175" t="s">
        <v>22</v>
      </c>
      <c r="I175" t="s">
        <v>18</v>
      </c>
      <c r="J175" t="s">
        <v>26</v>
      </c>
      <c r="K175" t="s">
        <v>23</v>
      </c>
      <c r="L175" t="s">
        <v>17</v>
      </c>
      <c r="M175" t="s">
        <v>22</v>
      </c>
      <c r="N175" t="s">
        <v>18</v>
      </c>
      <c r="O175" t="s">
        <v>26</v>
      </c>
    </row>
    <row r="176" spans="1:15">
      <c r="A176" t="s">
        <v>72</v>
      </c>
      <c r="B176">
        <f t="shared" si="8"/>
        <v>7.183908045977011E-2</v>
      </c>
      <c r="C176">
        <f t="shared" si="9"/>
        <v>0.28735632183908044</v>
      </c>
      <c r="D176">
        <v>1.1000000000000001</v>
      </c>
      <c r="E176" t="s">
        <v>64</v>
      </c>
      <c r="F176" t="s">
        <v>23</v>
      </c>
      <c r="G176" t="s">
        <v>22</v>
      </c>
      <c r="H176" t="s">
        <v>24</v>
      </c>
      <c r="I176" t="s">
        <v>26</v>
      </c>
      <c r="J176" t="s">
        <v>17</v>
      </c>
      <c r="K176" t="s">
        <v>23</v>
      </c>
      <c r="L176" t="s">
        <v>22</v>
      </c>
      <c r="M176" t="s">
        <v>24</v>
      </c>
      <c r="N176" t="s">
        <v>26</v>
      </c>
      <c r="O176" t="s">
        <v>17</v>
      </c>
    </row>
    <row r="177" spans="1:15">
      <c r="A177" t="s">
        <v>72</v>
      </c>
      <c r="B177">
        <f t="shared" si="8"/>
        <v>7.183908045977011E-2</v>
      </c>
      <c r="C177">
        <f t="shared" si="9"/>
        <v>0.28735632183908044</v>
      </c>
      <c r="D177">
        <v>1</v>
      </c>
      <c r="E177" t="s">
        <v>64</v>
      </c>
      <c r="F177" t="s">
        <v>24</v>
      </c>
      <c r="G177" t="s">
        <v>21</v>
      </c>
      <c r="H177" t="s">
        <v>20</v>
      </c>
      <c r="I177" t="s">
        <v>18</v>
      </c>
      <c r="J177" t="s">
        <v>26</v>
      </c>
      <c r="K177" t="s">
        <v>24</v>
      </c>
      <c r="L177" t="s">
        <v>21</v>
      </c>
      <c r="M177" t="s">
        <v>20</v>
      </c>
      <c r="N177" t="s">
        <v>18</v>
      </c>
      <c r="O177" t="s">
        <v>26</v>
      </c>
    </row>
    <row r="178" spans="1:15">
      <c r="A178" t="s">
        <v>72</v>
      </c>
      <c r="B178">
        <f t="shared" si="8"/>
        <v>7.183908045977011E-2</v>
      </c>
      <c r="C178">
        <f t="shared" si="9"/>
        <v>0.28735632183908044</v>
      </c>
      <c r="D178">
        <v>0.90000000000000102</v>
      </c>
      <c r="E178" t="s">
        <v>64</v>
      </c>
      <c r="F178" t="s">
        <v>18</v>
      </c>
      <c r="G178" t="s">
        <v>17</v>
      </c>
      <c r="H178" t="s">
        <v>19</v>
      </c>
      <c r="I178" t="s">
        <v>20</v>
      </c>
      <c r="J178" t="s">
        <v>23</v>
      </c>
      <c r="K178" t="s">
        <v>18</v>
      </c>
      <c r="L178" t="s">
        <v>17</v>
      </c>
      <c r="M178" t="s">
        <v>19</v>
      </c>
      <c r="N178" t="s">
        <v>20</v>
      </c>
      <c r="O178" t="s">
        <v>23</v>
      </c>
    </row>
    <row r="179" spans="1:15">
      <c r="A179" t="s">
        <v>72</v>
      </c>
      <c r="B179">
        <f t="shared" si="8"/>
        <v>7.183908045977011E-2</v>
      </c>
      <c r="C179">
        <f t="shared" si="9"/>
        <v>0.28735632183908044</v>
      </c>
      <c r="D179">
        <v>0.80000000000000104</v>
      </c>
      <c r="E179" t="s">
        <v>64</v>
      </c>
      <c r="F179" t="s">
        <v>18</v>
      </c>
      <c r="G179" t="s">
        <v>24</v>
      </c>
      <c r="H179" t="s">
        <v>22</v>
      </c>
      <c r="I179" t="s">
        <v>25</v>
      </c>
      <c r="J179" t="s">
        <v>26</v>
      </c>
      <c r="K179" t="s">
        <v>18</v>
      </c>
      <c r="L179" t="s">
        <v>24</v>
      </c>
      <c r="M179" t="s">
        <v>22</v>
      </c>
      <c r="O179" t="s">
        <v>26</v>
      </c>
    </row>
    <row r="180" spans="1:15">
      <c r="A180" t="s">
        <v>72</v>
      </c>
      <c r="B180">
        <f t="shared" si="8"/>
        <v>7.183908045977011E-2</v>
      </c>
      <c r="C180">
        <f t="shared" si="9"/>
        <v>0.28735632183908044</v>
      </c>
      <c r="D180">
        <v>0.70000000000000095</v>
      </c>
      <c r="E180" t="s">
        <v>64</v>
      </c>
      <c r="F180" t="s">
        <v>22</v>
      </c>
      <c r="G180" t="s">
        <v>19</v>
      </c>
      <c r="H180" t="s">
        <v>23</v>
      </c>
      <c r="I180" t="s">
        <v>25</v>
      </c>
      <c r="J180" t="s">
        <v>17</v>
      </c>
    </row>
    <row r="181" spans="1:15">
      <c r="A181" t="s">
        <v>72</v>
      </c>
      <c r="B181">
        <f t="shared" si="8"/>
        <v>7.183908045977011E-2</v>
      </c>
      <c r="C181">
        <f t="shared" si="9"/>
        <v>0.28735632183908044</v>
      </c>
      <c r="D181">
        <v>0.6</v>
      </c>
      <c r="E181" t="s">
        <v>64</v>
      </c>
      <c r="F181" t="s">
        <v>19</v>
      </c>
      <c r="G181" t="s">
        <v>21</v>
      </c>
      <c r="H181" t="s">
        <v>22</v>
      </c>
      <c r="I181" t="s">
        <v>26</v>
      </c>
      <c r="J181" t="s">
        <v>23</v>
      </c>
    </row>
    <row r="182" spans="1:15">
      <c r="A182" t="s">
        <v>72</v>
      </c>
      <c r="B182">
        <f t="shared" si="8"/>
        <v>7.183908045977011E-2</v>
      </c>
      <c r="C182">
        <f t="shared" si="9"/>
        <v>0.28735632183908044</v>
      </c>
      <c r="D182">
        <v>0.5</v>
      </c>
      <c r="E182" t="s">
        <v>64</v>
      </c>
      <c r="F182" t="s">
        <v>26</v>
      </c>
      <c r="G182" t="s">
        <v>17</v>
      </c>
      <c r="H182" t="s">
        <v>24</v>
      </c>
      <c r="I182" t="s">
        <v>25</v>
      </c>
      <c r="J182" t="s">
        <v>23</v>
      </c>
    </row>
    <row r="183" spans="1:15">
      <c r="A183" t="s">
        <v>72</v>
      </c>
      <c r="B183">
        <f t="shared" si="8"/>
        <v>7.183908045977011E-2</v>
      </c>
      <c r="C183">
        <f t="shared" si="9"/>
        <v>0.28735632183908044</v>
      </c>
      <c r="D183">
        <v>0.4</v>
      </c>
      <c r="E183" t="s">
        <v>64</v>
      </c>
      <c r="F183" t="s">
        <v>26</v>
      </c>
      <c r="G183" t="s">
        <v>25</v>
      </c>
      <c r="H183" t="s">
        <v>18</v>
      </c>
      <c r="I183" t="s">
        <v>24</v>
      </c>
      <c r="J183" t="s">
        <v>17</v>
      </c>
    </row>
    <row r="184" spans="1:15">
      <c r="A184" t="s">
        <v>72</v>
      </c>
      <c r="B184">
        <f t="shared" si="8"/>
        <v>7.183908045977011E-2</v>
      </c>
      <c r="C184">
        <f t="shared" si="9"/>
        <v>0.28735632183908044</v>
      </c>
      <c r="D184">
        <v>0.3</v>
      </c>
      <c r="E184" t="s">
        <v>64</v>
      </c>
      <c r="F184" t="s">
        <v>23</v>
      </c>
      <c r="G184" t="s">
        <v>25</v>
      </c>
      <c r="H184" t="s">
        <v>20</v>
      </c>
      <c r="I184" t="s">
        <v>24</v>
      </c>
      <c r="J184" t="s">
        <v>19</v>
      </c>
    </row>
    <row r="185" spans="1:15">
      <c r="A185" t="s">
        <v>72</v>
      </c>
      <c r="B185">
        <f t="shared" si="8"/>
        <v>7.183908045977011E-2</v>
      </c>
      <c r="C185">
        <f t="shared" si="9"/>
        <v>0.28735632183908044</v>
      </c>
      <c r="D185">
        <v>0.2</v>
      </c>
      <c r="E185" t="s">
        <v>64</v>
      </c>
      <c r="F185" t="s">
        <v>26</v>
      </c>
      <c r="G185" t="s">
        <v>19</v>
      </c>
      <c r="H185" t="s">
        <v>17</v>
      </c>
      <c r="I185" t="s">
        <v>20</v>
      </c>
      <c r="J185" t="s">
        <v>22</v>
      </c>
    </row>
    <row r="186" spans="1:15">
      <c r="A186" t="s">
        <v>72</v>
      </c>
      <c r="B186">
        <f t="shared" si="8"/>
        <v>7.183908045977011E-2</v>
      </c>
      <c r="C186">
        <f t="shared" si="9"/>
        <v>0.28735632183908044</v>
      </c>
      <c r="D186">
        <v>9.9999999999999895E-2</v>
      </c>
      <c r="E186" t="s">
        <v>64</v>
      </c>
      <c r="F186" t="s">
        <v>20</v>
      </c>
      <c r="G186" t="s">
        <v>26</v>
      </c>
      <c r="H186" t="s">
        <v>18</v>
      </c>
      <c r="I186" t="s">
        <v>17</v>
      </c>
      <c r="J186" t="s">
        <v>22</v>
      </c>
    </row>
    <row r="187" spans="1:15">
      <c r="A187" t="s">
        <v>72</v>
      </c>
      <c r="B187">
        <f t="shared" si="8"/>
        <v>7.183908045977011E-2</v>
      </c>
      <c r="C187">
        <f t="shared" si="9"/>
        <v>0.28735632183908044</v>
      </c>
      <c r="D187">
        <v>0</v>
      </c>
      <c r="E187" t="s">
        <v>64</v>
      </c>
      <c r="F187" t="s">
        <v>25</v>
      </c>
      <c r="G187" t="s">
        <v>26</v>
      </c>
      <c r="H187" t="s">
        <v>20</v>
      </c>
      <c r="I187" t="s">
        <v>22</v>
      </c>
      <c r="J187" t="s">
        <v>24</v>
      </c>
    </row>
    <row r="188" spans="1:15">
      <c r="A188" t="s">
        <v>72</v>
      </c>
      <c r="B188">
        <f t="shared" si="8"/>
        <v>7.183908045977011E-2</v>
      </c>
      <c r="C188">
        <f t="shared" si="9"/>
        <v>0.28735632183908044</v>
      </c>
      <c r="D188">
        <v>-0.1</v>
      </c>
      <c r="E188" t="s">
        <v>64</v>
      </c>
      <c r="F188" t="s">
        <v>22</v>
      </c>
      <c r="G188" t="s">
        <v>25</v>
      </c>
      <c r="H188" t="s">
        <v>19</v>
      </c>
      <c r="I188" t="s">
        <v>17</v>
      </c>
      <c r="J188" t="s">
        <v>18</v>
      </c>
    </row>
    <row r="189" spans="1:15">
      <c r="A189" t="s">
        <v>72</v>
      </c>
      <c r="B189">
        <f t="shared" si="8"/>
        <v>7.183908045977011E-2</v>
      </c>
      <c r="C189">
        <f t="shared" si="9"/>
        <v>0.28735632183908044</v>
      </c>
      <c r="D189">
        <v>-0.2</v>
      </c>
      <c r="E189" t="s">
        <v>64</v>
      </c>
      <c r="F189" t="s">
        <v>25</v>
      </c>
      <c r="G189" t="s">
        <v>21</v>
      </c>
      <c r="H189" t="s">
        <v>20</v>
      </c>
      <c r="I189" t="s">
        <v>19</v>
      </c>
      <c r="J189" t="s">
        <v>24</v>
      </c>
    </row>
    <row r="190" spans="1:15">
      <c r="A190" t="s">
        <v>72</v>
      </c>
      <c r="B190">
        <f t="shared" si="8"/>
        <v>7.183908045977011E-2</v>
      </c>
      <c r="C190">
        <f t="shared" si="9"/>
        <v>0.28735632183908044</v>
      </c>
      <c r="D190">
        <v>-0.3</v>
      </c>
      <c r="E190" t="s">
        <v>64</v>
      </c>
      <c r="F190" t="s">
        <v>21</v>
      </c>
      <c r="G190" t="s">
        <v>18</v>
      </c>
      <c r="H190" t="s">
        <v>20</v>
      </c>
      <c r="I190" t="s">
        <v>19</v>
      </c>
      <c r="J190" t="s">
        <v>22</v>
      </c>
    </row>
    <row r="191" spans="1:15">
      <c r="A191" t="s">
        <v>73</v>
      </c>
      <c r="B191">
        <f>1/25.62</f>
        <v>3.9032006245121001E-2</v>
      </c>
      <c r="C191">
        <f>4/25.62</f>
        <v>0.156128024980484</v>
      </c>
      <c r="D191">
        <v>1.7</v>
      </c>
      <c r="E191" t="s">
        <v>64</v>
      </c>
      <c r="F191" t="s">
        <v>18</v>
      </c>
      <c r="G191" t="s">
        <v>19</v>
      </c>
      <c r="H191" t="s">
        <v>21</v>
      </c>
      <c r="I191" t="s">
        <v>23</v>
      </c>
      <c r="J191" t="s">
        <v>17</v>
      </c>
      <c r="K191" t="s">
        <v>18</v>
      </c>
      <c r="L191" t="s">
        <v>19</v>
      </c>
      <c r="M191" t="s">
        <v>21</v>
      </c>
      <c r="N191" t="s">
        <v>23</v>
      </c>
      <c r="O191" t="s">
        <v>17</v>
      </c>
    </row>
    <row r="192" spans="1:15">
      <c r="A192" t="s">
        <v>73</v>
      </c>
      <c r="B192">
        <f t="shared" ref="B192:B211" si="10">1/25.62</f>
        <v>3.9032006245121001E-2</v>
      </c>
      <c r="C192">
        <f t="shared" ref="C192:C211" si="11">4/25.62</f>
        <v>0.156128024980484</v>
      </c>
      <c r="D192">
        <v>1.6</v>
      </c>
      <c r="E192" t="s">
        <v>64</v>
      </c>
      <c r="F192" t="s">
        <v>17</v>
      </c>
      <c r="G192" t="s">
        <v>20</v>
      </c>
      <c r="H192" t="s">
        <v>18</v>
      </c>
      <c r="I192" t="s">
        <v>22</v>
      </c>
      <c r="J192" t="s">
        <v>21</v>
      </c>
      <c r="K192" t="s">
        <v>17</v>
      </c>
      <c r="L192" t="s">
        <v>20</v>
      </c>
      <c r="M192" t="s">
        <v>18</v>
      </c>
      <c r="N192" t="s">
        <v>22</v>
      </c>
      <c r="O192" t="s">
        <v>21</v>
      </c>
    </row>
    <row r="193" spans="1:15">
      <c r="A193" t="s">
        <v>73</v>
      </c>
      <c r="B193">
        <f t="shared" si="10"/>
        <v>3.9032006245121001E-2</v>
      </c>
      <c r="C193">
        <f t="shared" si="11"/>
        <v>0.156128024980484</v>
      </c>
      <c r="D193">
        <v>1.5</v>
      </c>
      <c r="E193" t="s">
        <v>64</v>
      </c>
      <c r="F193" t="s">
        <v>24</v>
      </c>
      <c r="G193" t="s">
        <v>26</v>
      </c>
      <c r="H193" t="s">
        <v>23</v>
      </c>
      <c r="I193" t="s">
        <v>18</v>
      </c>
      <c r="J193" t="s">
        <v>17</v>
      </c>
      <c r="K193" t="s">
        <v>24</v>
      </c>
      <c r="L193" t="s">
        <v>26</v>
      </c>
      <c r="M193" t="s">
        <v>23</v>
      </c>
      <c r="N193" t="s">
        <v>18</v>
      </c>
      <c r="O193" t="s">
        <v>17</v>
      </c>
    </row>
    <row r="194" spans="1:15">
      <c r="A194" t="s">
        <v>73</v>
      </c>
      <c r="B194">
        <f t="shared" si="10"/>
        <v>3.9032006245121001E-2</v>
      </c>
      <c r="C194">
        <f t="shared" si="11"/>
        <v>0.156128024980484</v>
      </c>
      <c r="D194">
        <v>1.4</v>
      </c>
      <c r="E194" t="s">
        <v>64</v>
      </c>
      <c r="F194" t="s">
        <v>17</v>
      </c>
      <c r="G194" t="s">
        <v>24</v>
      </c>
      <c r="H194" t="s">
        <v>23</v>
      </c>
      <c r="I194" t="s">
        <v>18</v>
      </c>
      <c r="J194" t="s">
        <v>21</v>
      </c>
      <c r="K194" t="s">
        <v>17</v>
      </c>
      <c r="L194" t="s">
        <v>24</v>
      </c>
      <c r="M194" t="s">
        <v>23</v>
      </c>
      <c r="N194" t="s">
        <v>18</v>
      </c>
      <c r="O194" t="s">
        <v>21</v>
      </c>
    </row>
    <row r="195" spans="1:15">
      <c r="A195" t="s">
        <v>73</v>
      </c>
      <c r="B195">
        <f t="shared" si="10"/>
        <v>3.9032006245121001E-2</v>
      </c>
      <c r="C195">
        <f t="shared" si="11"/>
        <v>0.156128024980484</v>
      </c>
      <c r="D195">
        <v>1.3</v>
      </c>
      <c r="E195" t="s">
        <v>64</v>
      </c>
      <c r="F195" t="s">
        <v>17</v>
      </c>
      <c r="G195" t="s">
        <v>23</v>
      </c>
      <c r="H195" t="s">
        <v>19</v>
      </c>
      <c r="I195" t="s">
        <v>22</v>
      </c>
      <c r="J195" t="s">
        <v>21</v>
      </c>
      <c r="K195" t="s">
        <v>17</v>
      </c>
      <c r="M195" t="s">
        <v>19</v>
      </c>
      <c r="N195" t="s">
        <v>22</v>
      </c>
      <c r="O195" t="s">
        <v>21</v>
      </c>
    </row>
    <row r="196" spans="1:15">
      <c r="A196" t="s">
        <v>73</v>
      </c>
      <c r="B196">
        <f t="shared" si="10"/>
        <v>3.9032006245121001E-2</v>
      </c>
      <c r="C196">
        <f t="shared" si="11"/>
        <v>0.156128024980484</v>
      </c>
      <c r="D196">
        <v>1.2</v>
      </c>
      <c r="E196" t="s">
        <v>64</v>
      </c>
      <c r="F196" t="s">
        <v>18</v>
      </c>
      <c r="G196" t="s">
        <v>25</v>
      </c>
      <c r="H196" t="s">
        <v>17</v>
      </c>
      <c r="I196" t="s">
        <v>24</v>
      </c>
      <c r="J196" t="s">
        <v>19</v>
      </c>
      <c r="K196" t="s">
        <v>18</v>
      </c>
      <c r="L196" t="s">
        <v>25</v>
      </c>
      <c r="M196" t="s">
        <v>17</v>
      </c>
      <c r="N196" t="s">
        <v>24</v>
      </c>
      <c r="O196" t="s">
        <v>19</v>
      </c>
    </row>
    <row r="197" spans="1:15">
      <c r="A197" t="s">
        <v>73</v>
      </c>
      <c r="B197">
        <f t="shared" si="10"/>
        <v>3.9032006245121001E-2</v>
      </c>
      <c r="C197">
        <f t="shared" si="11"/>
        <v>0.156128024980484</v>
      </c>
      <c r="D197">
        <v>1.1000000000000001</v>
      </c>
      <c r="E197" t="s">
        <v>64</v>
      </c>
      <c r="F197" t="s">
        <v>20</v>
      </c>
      <c r="G197" t="s">
        <v>22</v>
      </c>
      <c r="H197" t="s">
        <v>23</v>
      </c>
      <c r="I197" t="s">
        <v>18</v>
      </c>
      <c r="J197" t="s">
        <v>17</v>
      </c>
      <c r="L197" t="s">
        <v>22</v>
      </c>
      <c r="M197" t="s">
        <v>23</v>
      </c>
    </row>
    <row r="198" spans="1:15">
      <c r="A198" t="s">
        <v>73</v>
      </c>
      <c r="B198">
        <f t="shared" si="10"/>
        <v>3.9032006245121001E-2</v>
      </c>
      <c r="C198">
        <f t="shared" si="11"/>
        <v>0.156128024980484</v>
      </c>
      <c r="D198">
        <v>1</v>
      </c>
      <c r="E198" t="s">
        <v>64</v>
      </c>
      <c r="F198" t="s">
        <v>24</v>
      </c>
      <c r="G198" t="s">
        <v>22</v>
      </c>
      <c r="H198" t="s">
        <v>19</v>
      </c>
      <c r="I198" t="s">
        <v>21</v>
      </c>
      <c r="J198" t="s">
        <v>26</v>
      </c>
    </row>
    <row r="199" spans="1:15">
      <c r="A199" t="s">
        <v>73</v>
      </c>
      <c r="B199">
        <f t="shared" si="10"/>
        <v>3.9032006245121001E-2</v>
      </c>
      <c r="C199">
        <f t="shared" si="11"/>
        <v>0.156128024980484</v>
      </c>
      <c r="D199">
        <v>0.90000000000000102</v>
      </c>
      <c r="E199" t="s">
        <v>64</v>
      </c>
      <c r="F199" t="s">
        <v>23</v>
      </c>
      <c r="G199" t="s">
        <v>20</v>
      </c>
      <c r="H199" t="s">
        <v>18</v>
      </c>
      <c r="I199" t="s">
        <v>17</v>
      </c>
      <c r="J199" t="s">
        <v>25</v>
      </c>
    </row>
    <row r="200" spans="1:15">
      <c r="A200" t="s">
        <v>73</v>
      </c>
      <c r="B200">
        <f t="shared" si="10"/>
        <v>3.9032006245121001E-2</v>
      </c>
      <c r="C200">
        <f t="shared" si="11"/>
        <v>0.156128024980484</v>
      </c>
      <c r="D200">
        <v>0.80000000000000104</v>
      </c>
      <c r="E200" t="s">
        <v>64</v>
      </c>
      <c r="F200" t="s">
        <v>23</v>
      </c>
      <c r="G200" t="s">
        <v>26</v>
      </c>
      <c r="H200" t="s">
        <v>19</v>
      </c>
      <c r="I200" t="s">
        <v>18</v>
      </c>
      <c r="J200" t="s">
        <v>25</v>
      </c>
    </row>
    <row r="201" spans="1:15">
      <c r="A201" t="s">
        <v>73</v>
      </c>
      <c r="B201">
        <f t="shared" si="10"/>
        <v>3.9032006245121001E-2</v>
      </c>
      <c r="C201">
        <f t="shared" si="11"/>
        <v>0.156128024980484</v>
      </c>
      <c r="D201">
        <v>0.70000000000000095</v>
      </c>
      <c r="E201" t="s">
        <v>64</v>
      </c>
      <c r="F201" t="s">
        <v>25</v>
      </c>
      <c r="G201" t="s">
        <v>24</v>
      </c>
      <c r="H201" t="s">
        <v>20</v>
      </c>
      <c r="I201" t="s">
        <v>18</v>
      </c>
      <c r="J201" t="s">
        <v>19</v>
      </c>
    </row>
    <row r="202" spans="1:15">
      <c r="A202" t="s">
        <v>73</v>
      </c>
      <c r="B202">
        <f t="shared" si="10"/>
        <v>3.9032006245121001E-2</v>
      </c>
      <c r="C202">
        <f t="shared" si="11"/>
        <v>0.156128024980484</v>
      </c>
      <c r="D202">
        <v>0.6</v>
      </c>
      <c r="E202" t="s">
        <v>64</v>
      </c>
      <c r="F202" t="s">
        <v>26</v>
      </c>
      <c r="G202" t="s">
        <v>17</v>
      </c>
      <c r="H202" t="s">
        <v>22</v>
      </c>
      <c r="I202" t="s">
        <v>24</v>
      </c>
      <c r="J202" t="s">
        <v>19</v>
      </c>
    </row>
    <row r="203" spans="1:15">
      <c r="A203" t="s">
        <v>73</v>
      </c>
      <c r="B203">
        <f t="shared" si="10"/>
        <v>3.9032006245121001E-2</v>
      </c>
      <c r="C203">
        <f t="shared" si="11"/>
        <v>0.156128024980484</v>
      </c>
      <c r="D203">
        <v>0.5</v>
      </c>
      <c r="E203" t="s">
        <v>64</v>
      </c>
      <c r="F203" t="s">
        <v>26</v>
      </c>
      <c r="G203" t="s">
        <v>17</v>
      </c>
      <c r="H203" t="s">
        <v>21</v>
      </c>
      <c r="I203" t="s">
        <v>24</v>
      </c>
      <c r="J203" t="s">
        <v>23</v>
      </c>
    </row>
    <row r="204" spans="1:15">
      <c r="A204" t="s">
        <v>73</v>
      </c>
      <c r="B204">
        <f t="shared" si="10"/>
        <v>3.9032006245121001E-2</v>
      </c>
      <c r="C204">
        <f t="shared" si="11"/>
        <v>0.156128024980484</v>
      </c>
      <c r="D204">
        <v>0.4</v>
      </c>
      <c r="E204" t="s">
        <v>64</v>
      </c>
      <c r="F204" t="s">
        <v>19</v>
      </c>
      <c r="G204" t="s">
        <v>18</v>
      </c>
      <c r="H204" t="s">
        <v>22</v>
      </c>
      <c r="I204" t="s">
        <v>26</v>
      </c>
      <c r="J204" t="s">
        <v>20</v>
      </c>
    </row>
    <row r="205" spans="1:15">
      <c r="A205" t="s">
        <v>73</v>
      </c>
      <c r="B205">
        <f t="shared" si="10"/>
        <v>3.9032006245121001E-2</v>
      </c>
      <c r="C205">
        <f t="shared" si="11"/>
        <v>0.156128024980484</v>
      </c>
      <c r="D205">
        <v>0.3</v>
      </c>
      <c r="E205" t="s">
        <v>64</v>
      </c>
      <c r="F205" t="s">
        <v>19</v>
      </c>
      <c r="G205" t="s">
        <v>24</v>
      </c>
      <c r="H205" t="s">
        <v>21</v>
      </c>
      <c r="I205" t="s">
        <v>23</v>
      </c>
      <c r="J205" t="s">
        <v>22</v>
      </c>
    </row>
    <row r="206" spans="1:15">
      <c r="A206" t="s">
        <v>73</v>
      </c>
      <c r="B206">
        <f t="shared" si="10"/>
        <v>3.9032006245121001E-2</v>
      </c>
      <c r="C206">
        <f t="shared" si="11"/>
        <v>0.156128024980484</v>
      </c>
      <c r="D206">
        <v>0.2</v>
      </c>
      <c r="E206" t="s">
        <v>64</v>
      </c>
      <c r="F206" t="s">
        <v>19</v>
      </c>
      <c r="G206" t="s">
        <v>25</v>
      </c>
      <c r="H206" t="s">
        <v>26</v>
      </c>
      <c r="I206" t="s">
        <v>22</v>
      </c>
      <c r="J206" t="s">
        <v>20</v>
      </c>
    </row>
    <row r="207" spans="1:15">
      <c r="A207" t="s">
        <v>73</v>
      </c>
      <c r="B207">
        <f t="shared" si="10"/>
        <v>3.9032006245121001E-2</v>
      </c>
      <c r="C207">
        <f t="shared" si="11"/>
        <v>0.156128024980484</v>
      </c>
      <c r="D207">
        <v>9.9999999999999895E-2</v>
      </c>
      <c r="E207" t="s">
        <v>64</v>
      </c>
      <c r="F207" t="s">
        <v>19</v>
      </c>
      <c r="G207" t="s">
        <v>25</v>
      </c>
      <c r="H207" t="s">
        <v>24</v>
      </c>
      <c r="I207" t="s">
        <v>21</v>
      </c>
      <c r="J207" t="s">
        <v>20</v>
      </c>
    </row>
    <row r="208" spans="1:15">
      <c r="A208" t="s">
        <v>73</v>
      </c>
      <c r="B208">
        <f t="shared" si="10"/>
        <v>3.9032006245121001E-2</v>
      </c>
      <c r="C208">
        <f t="shared" si="11"/>
        <v>0.156128024980484</v>
      </c>
      <c r="D208">
        <v>0</v>
      </c>
      <c r="E208" t="s">
        <v>64</v>
      </c>
      <c r="F208" t="s">
        <v>20</v>
      </c>
      <c r="G208" t="s">
        <v>25</v>
      </c>
      <c r="H208" t="s">
        <v>23</v>
      </c>
      <c r="I208" t="s">
        <v>21</v>
      </c>
      <c r="J208" t="s">
        <v>18</v>
      </c>
    </row>
    <row r="209" spans="1:15">
      <c r="A209" t="s">
        <v>73</v>
      </c>
      <c r="B209">
        <f t="shared" si="10"/>
        <v>3.9032006245121001E-2</v>
      </c>
      <c r="C209">
        <f t="shared" si="11"/>
        <v>0.156128024980484</v>
      </c>
      <c r="D209">
        <v>-0.1</v>
      </c>
      <c r="E209" t="s">
        <v>64</v>
      </c>
      <c r="F209" t="s">
        <v>21</v>
      </c>
      <c r="G209" t="s">
        <v>22</v>
      </c>
      <c r="H209" t="s">
        <v>18</v>
      </c>
      <c r="I209" t="s">
        <v>19</v>
      </c>
      <c r="J209" t="s">
        <v>17</v>
      </c>
    </row>
    <row r="210" spans="1:15">
      <c r="A210" t="s">
        <v>73</v>
      </c>
      <c r="B210">
        <f t="shared" si="10"/>
        <v>3.9032006245121001E-2</v>
      </c>
      <c r="C210">
        <f t="shared" si="11"/>
        <v>0.156128024980484</v>
      </c>
      <c r="D210">
        <v>-0.2</v>
      </c>
      <c r="E210" t="s">
        <v>64</v>
      </c>
      <c r="F210" t="s">
        <v>21</v>
      </c>
      <c r="G210" t="s">
        <v>17</v>
      </c>
      <c r="H210" t="s">
        <v>25</v>
      </c>
      <c r="I210" t="s">
        <v>23</v>
      </c>
      <c r="J210" t="s">
        <v>26</v>
      </c>
    </row>
    <row r="211" spans="1:15">
      <c r="A211" t="s">
        <v>73</v>
      </c>
      <c r="B211">
        <f t="shared" si="10"/>
        <v>3.9032006245121001E-2</v>
      </c>
      <c r="C211">
        <f t="shared" si="11"/>
        <v>0.156128024980484</v>
      </c>
      <c r="D211">
        <v>-0.3</v>
      </c>
      <c r="E211" t="s">
        <v>64</v>
      </c>
      <c r="F211" t="s">
        <v>17</v>
      </c>
      <c r="G211" t="s">
        <v>18</v>
      </c>
      <c r="H211" t="s">
        <v>25</v>
      </c>
      <c r="I211" t="s">
        <v>20</v>
      </c>
      <c r="J211" t="s">
        <v>23</v>
      </c>
    </row>
    <row r="212" spans="1:15">
      <c r="A212" t="s">
        <v>74</v>
      </c>
      <c r="B212">
        <f>1/46.62</f>
        <v>2.145002145002145E-2</v>
      </c>
      <c r="C212">
        <f>4/20.9</f>
        <v>0.19138755980861244</v>
      </c>
      <c r="D212">
        <v>1.7</v>
      </c>
      <c r="E212" t="s">
        <v>64</v>
      </c>
      <c r="F212" t="s">
        <v>20</v>
      </c>
      <c r="G212" t="s">
        <v>19</v>
      </c>
      <c r="H212" t="s">
        <v>18</v>
      </c>
      <c r="I212" t="s">
        <v>23</v>
      </c>
      <c r="J212" t="s">
        <v>22</v>
      </c>
      <c r="K212" t="s">
        <v>20</v>
      </c>
      <c r="L212" t="s">
        <v>19</v>
      </c>
      <c r="M212" t="s">
        <v>18</v>
      </c>
      <c r="N212" t="s">
        <v>23</v>
      </c>
      <c r="O212" t="s">
        <v>22</v>
      </c>
    </row>
    <row r="213" spans="1:15">
      <c r="A213" t="s">
        <v>74</v>
      </c>
      <c r="B213">
        <f t="shared" ref="B213:B232" si="12">1/46.62</f>
        <v>2.145002145002145E-2</v>
      </c>
      <c r="C213">
        <f t="shared" ref="C213:C232" si="13">4/20.9</f>
        <v>0.19138755980861244</v>
      </c>
      <c r="D213">
        <v>1.6</v>
      </c>
      <c r="E213" t="s">
        <v>64</v>
      </c>
      <c r="F213" t="s">
        <v>23</v>
      </c>
      <c r="G213" t="s">
        <v>19</v>
      </c>
      <c r="H213" t="s">
        <v>20</v>
      </c>
      <c r="I213" t="s">
        <v>26</v>
      </c>
      <c r="J213" t="s">
        <v>25</v>
      </c>
      <c r="K213" t="s">
        <v>23</v>
      </c>
      <c r="L213" t="s">
        <v>19</v>
      </c>
      <c r="M213" t="s">
        <v>20</v>
      </c>
      <c r="N213" t="s">
        <v>26</v>
      </c>
      <c r="O213" t="s">
        <v>25</v>
      </c>
    </row>
    <row r="214" spans="1:15">
      <c r="A214" t="s">
        <v>74</v>
      </c>
      <c r="B214">
        <f t="shared" si="12"/>
        <v>2.145002145002145E-2</v>
      </c>
      <c r="C214">
        <f t="shared" si="13"/>
        <v>0.19138755980861244</v>
      </c>
      <c r="D214">
        <v>1.5</v>
      </c>
      <c r="E214" t="s">
        <v>64</v>
      </c>
      <c r="F214" t="s">
        <v>26</v>
      </c>
      <c r="G214" t="s">
        <v>22</v>
      </c>
      <c r="H214" t="s">
        <v>20</v>
      </c>
      <c r="I214" t="s">
        <v>17</v>
      </c>
      <c r="J214" t="s">
        <v>21</v>
      </c>
    </row>
    <row r="215" spans="1:15">
      <c r="A215" t="s">
        <v>74</v>
      </c>
      <c r="B215">
        <f t="shared" si="12"/>
        <v>2.145002145002145E-2</v>
      </c>
      <c r="C215">
        <f t="shared" si="13"/>
        <v>0.19138755980861244</v>
      </c>
      <c r="D215">
        <v>1.4</v>
      </c>
      <c r="E215" t="s">
        <v>64</v>
      </c>
      <c r="F215" t="s">
        <v>21</v>
      </c>
      <c r="G215" t="s">
        <v>24</v>
      </c>
      <c r="H215" t="s">
        <v>26</v>
      </c>
      <c r="I215" t="s">
        <v>25</v>
      </c>
      <c r="J215" t="s">
        <v>19</v>
      </c>
    </row>
    <row r="216" spans="1:15">
      <c r="A216" t="s">
        <v>74</v>
      </c>
      <c r="B216">
        <f t="shared" si="12"/>
        <v>2.145002145002145E-2</v>
      </c>
      <c r="C216">
        <f t="shared" si="13"/>
        <v>0.19138755980861244</v>
      </c>
      <c r="D216">
        <v>1.3</v>
      </c>
      <c r="E216" t="s">
        <v>64</v>
      </c>
      <c r="F216" t="s">
        <v>23</v>
      </c>
      <c r="G216" t="s">
        <v>26</v>
      </c>
      <c r="H216" t="s">
        <v>19</v>
      </c>
      <c r="I216" t="s">
        <v>20</v>
      </c>
      <c r="J216" t="s">
        <v>21</v>
      </c>
    </row>
    <row r="217" spans="1:15">
      <c r="A217" t="s">
        <v>74</v>
      </c>
      <c r="B217">
        <f t="shared" si="12"/>
        <v>2.145002145002145E-2</v>
      </c>
      <c r="C217">
        <f t="shared" si="13"/>
        <v>0.19138755980861244</v>
      </c>
      <c r="D217">
        <v>1.2</v>
      </c>
      <c r="E217" t="s">
        <v>64</v>
      </c>
      <c r="F217" t="s">
        <v>20</v>
      </c>
      <c r="G217" t="s">
        <v>21</v>
      </c>
      <c r="H217" t="s">
        <v>17</v>
      </c>
      <c r="I217" t="s">
        <v>24</v>
      </c>
      <c r="J217" t="s">
        <v>19</v>
      </c>
    </row>
    <row r="218" spans="1:15">
      <c r="A218" t="s">
        <v>74</v>
      </c>
      <c r="B218">
        <f t="shared" si="12"/>
        <v>2.145002145002145E-2</v>
      </c>
      <c r="C218">
        <f t="shared" si="13"/>
        <v>0.19138755980861244</v>
      </c>
      <c r="D218">
        <v>1.1000000000000001</v>
      </c>
      <c r="E218" t="s">
        <v>64</v>
      </c>
      <c r="F218" t="s">
        <v>19</v>
      </c>
      <c r="G218" t="s">
        <v>24</v>
      </c>
      <c r="H218" t="s">
        <v>25</v>
      </c>
      <c r="I218" t="s">
        <v>23</v>
      </c>
      <c r="J218" t="s">
        <v>17</v>
      </c>
    </row>
    <row r="219" spans="1:15">
      <c r="A219" t="s">
        <v>74</v>
      </c>
      <c r="B219">
        <f t="shared" si="12"/>
        <v>2.145002145002145E-2</v>
      </c>
      <c r="C219">
        <f t="shared" si="13"/>
        <v>0.19138755980861244</v>
      </c>
      <c r="D219">
        <v>1</v>
      </c>
      <c r="E219" t="s">
        <v>64</v>
      </c>
      <c r="F219" t="s">
        <v>25</v>
      </c>
      <c r="G219" t="s">
        <v>22</v>
      </c>
      <c r="H219" t="s">
        <v>19</v>
      </c>
      <c r="I219" t="s">
        <v>20</v>
      </c>
      <c r="J219" t="s">
        <v>24</v>
      </c>
    </row>
    <row r="220" spans="1:15">
      <c r="A220" t="s">
        <v>74</v>
      </c>
      <c r="B220">
        <f t="shared" si="12"/>
        <v>2.145002145002145E-2</v>
      </c>
      <c r="C220">
        <f t="shared" si="13"/>
        <v>0.19138755980861244</v>
      </c>
      <c r="D220">
        <v>0.90000000000000102</v>
      </c>
      <c r="E220" t="s">
        <v>64</v>
      </c>
      <c r="F220" t="s">
        <v>24</v>
      </c>
      <c r="G220" t="s">
        <v>23</v>
      </c>
      <c r="H220" t="s">
        <v>21</v>
      </c>
      <c r="I220" t="s">
        <v>18</v>
      </c>
      <c r="J220" t="s">
        <v>20</v>
      </c>
    </row>
    <row r="221" spans="1:15">
      <c r="A221" t="s">
        <v>74</v>
      </c>
      <c r="B221">
        <f t="shared" si="12"/>
        <v>2.145002145002145E-2</v>
      </c>
      <c r="C221">
        <f t="shared" si="13"/>
        <v>0.19138755980861244</v>
      </c>
      <c r="D221">
        <v>0.80000000000000104</v>
      </c>
      <c r="E221" t="s">
        <v>64</v>
      </c>
      <c r="F221" t="s">
        <v>18</v>
      </c>
      <c r="G221" t="s">
        <v>19</v>
      </c>
      <c r="H221" t="s">
        <v>22</v>
      </c>
      <c r="I221" t="s">
        <v>21</v>
      </c>
      <c r="J221" t="s">
        <v>20</v>
      </c>
    </row>
    <row r="222" spans="1:15">
      <c r="A222" t="s">
        <v>74</v>
      </c>
      <c r="B222">
        <f t="shared" si="12"/>
        <v>2.145002145002145E-2</v>
      </c>
      <c r="C222">
        <f t="shared" si="13"/>
        <v>0.19138755980861244</v>
      </c>
      <c r="D222">
        <v>0.70000000000000095</v>
      </c>
      <c r="E222" t="s">
        <v>64</v>
      </c>
      <c r="F222" t="s">
        <v>21</v>
      </c>
      <c r="G222" t="s">
        <v>23</v>
      </c>
      <c r="H222" t="s">
        <v>25</v>
      </c>
      <c r="I222" t="s">
        <v>18</v>
      </c>
      <c r="J222" t="s">
        <v>24</v>
      </c>
    </row>
    <row r="223" spans="1:15">
      <c r="A223" t="s">
        <v>74</v>
      </c>
      <c r="B223">
        <f t="shared" si="12"/>
        <v>2.145002145002145E-2</v>
      </c>
      <c r="C223">
        <f t="shared" si="13"/>
        <v>0.19138755980861244</v>
      </c>
      <c r="D223">
        <v>0.6</v>
      </c>
      <c r="E223" t="s">
        <v>64</v>
      </c>
      <c r="F223" t="s">
        <v>19</v>
      </c>
      <c r="G223" t="s">
        <v>26</v>
      </c>
      <c r="H223" t="s">
        <v>24</v>
      </c>
      <c r="I223" t="s">
        <v>18</v>
      </c>
      <c r="J223" t="s">
        <v>25</v>
      </c>
    </row>
    <row r="224" spans="1:15">
      <c r="A224" t="s">
        <v>74</v>
      </c>
      <c r="B224">
        <f t="shared" si="12"/>
        <v>2.145002145002145E-2</v>
      </c>
      <c r="C224">
        <f t="shared" si="13"/>
        <v>0.19138755980861244</v>
      </c>
      <c r="D224">
        <v>0.5</v>
      </c>
      <c r="E224" t="s">
        <v>64</v>
      </c>
      <c r="F224" t="s">
        <v>26</v>
      </c>
      <c r="G224" t="s">
        <v>24</v>
      </c>
      <c r="H224" t="s">
        <v>18</v>
      </c>
      <c r="I224" t="s">
        <v>17</v>
      </c>
      <c r="J224" t="s">
        <v>23</v>
      </c>
    </row>
    <row r="225" spans="1:15">
      <c r="A225" t="s">
        <v>74</v>
      </c>
      <c r="B225">
        <f t="shared" si="12"/>
        <v>2.145002145002145E-2</v>
      </c>
      <c r="C225">
        <f t="shared" si="13"/>
        <v>0.19138755980861244</v>
      </c>
      <c r="D225">
        <v>0.4</v>
      </c>
      <c r="E225" t="s">
        <v>64</v>
      </c>
      <c r="F225" t="s">
        <v>19</v>
      </c>
      <c r="G225" t="s">
        <v>25</v>
      </c>
      <c r="H225" t="s">
        <v>17</v>
      </c>
      <c r="I225" t="s">
        <v>26</v>
      </c>
      <c r="J225" t="s">
        <v>20</v>
      </c>
    </row>
    <row r="226" spans="1:15">
      <c r="A226" t="s">
        <v>74</v>
      </c>
      <c r="B226">
        <f t="shared" si="12"/>
        <v>2.145002145002145E-2</v>
      </c>
      <c r="C226">
        <f t="shared" si="13"/>
        <v>0.19138755980861244</v>
      </c>
      <c r="D226">
        <v>0.3</v>
      </c>
      <c r="E226" t="s">
        <v>64</v>
      </c>
      <c r="F226" t="s">
        <v>22</v>
      </c>
      <c r="G226" t="s">
        <v>25</v>
      </c>
      <c r="H226" t="s">
        <v>17</v>
      </c>
      <c r="I226" t="s">
        <v>21</v>
      </c>
      <c r="J226" t="s">
        <v>20</v>
      </c>
    </row>
    <row r="227" spans="1:15">
      <c r="A227" t="s">
        <v>74</v>
      </c>
      <c r="B227">
        <f t="shared" si="12"/>
        <v>2.145002145002145E-2</v>
      </c>
      <c r="C227">
        <f t="shared" si="13"/>
        <v>0.19138755980861244</v>
      </c>
      <c r="D227">
        <v>0.2</v>
      </c>
      <c r="E227" t="s">
        <v>64</v>
      </c>
      <c r="F227" t="s">
        <v>22</v>
      </c>
      <c r="G227" t="s">
        <v>19</v>
      </c>
      <c r="H227" t="s">
        <v>18</v>
      </c>
      <c r="I227" t="s">
        <v>23</v>
      </c>
      <c r="J227" t="s">
        <v>21</v>
      </c>
    </row>
    <row r="228" spans="1:15">
      <c r="A228" t="s">
        <v>74</v>
      </c>
      <c r="B228">
        <f t="shared" si="12"/>
        <v>2.145002145002145E-2</v>
      </c>
      <c r="C228">
        <f t="shared" si="13"/>
        <v>0.19138755980861244</v>
      </c>
      <c r="D228">
        <v>9.9999999999999895E-2</v>
      </c>
      <c r="E228" t="s">
        <v>64</v>
      </c>
      <c r="F228" t="s">
        <v>23</v>
      </c>
      <c r="G228" t="s">
        <v>25</v>
      </c>
      <c r="H228" t="s">
        <v>26</v>
      </c>
      <c r="I228" t="s">
        <v>21</v>
      </c>
      <c r="J228" t="s">
        <v>22</v>
      </c>
    </row>
    <row r="229" spans="1:15">
      <c r="A229" t="s">
        <v>74</v>
      </c>
      <c r="B229">
        <f t="shared" si="12"/>
        <v>2.145002145002145E-2</v>
      </c>
      <c r="C229">
        <f t="shared" si="13"/>
        <v>0.19138755980861244</v>
      </c>
      <c r="D229">
        <v>0</v>
      </c>
      <c r="E229" t="s">
        <v>64</v>
      </c>
      <c r="F229" t="s">
        <v>23</v>
      </c>
      <c r="G229" t="s">
        <v>22</v>
      </c>
      <c r="H229" t="s">
        <v>19</v>
      </c>
      <c r="I229" t="s">
        <v>18</v>
      </c>
      <c r="J229" t="s">
        <v>25</v>
      </c>
    </row>
    <row r="230" spans="1:15">
      <c r="A230" t="s">
        <v>74</v>
      </c>
      <c r="B230">
        <f t="shared" si="12"/>
        <v>2.145002145002145E-2</v>
      </c>
      <c r="C230">
        <f t="shared" si="13"/>
        <v>0.19138755980861244</v>
      </c>
      <c r="D230">
        <v>-0.1</v>
      </c>
      <c r="E230" t="s">
        <v>64</v>
      </c>
      <c r="F230" t="s">
        <v>17</v>
      </c>
      <c r="G230" t="s">
        <v>18</v>
      </c>
      <c r="H230" t="s">
        <v>24</v>
      </c>
      <c r="I230" t="s">
        <v>23</v>
      </c>
      <c r="J230" t="s">
        <v>25</v>
      </c>
    </row>
    <row r="231" spans="1:15">
      <c r="A231" t="s">
        <v>74</v>
      </c>
      <c r="B231">
        <f t="shared" si="12"/>
        <v>2.145002145002145E-2</v>
      </c>
      <c r="C231">
        <f t="shared" si="13"/>
        <v>0.19138755980861244</v>
      </c>
      <c r="D231">
        <v>-0.2</v>
      </c>
      <c r="E231" t="s">
        <v>64</v>
      </c>
      <c r="F231" t="s">
        <v>24</v>
      </c>
      <c r="G231" t="s">
        <v>18</v>
      </c>
      <c r="H231" t="s">
        <v>26</v>
      </c>
      <c r="I231" t="s">
        <v>21</v>
      </c>
      <c r="J231" t="s">
        <v>23</v>
      </c>
    </row>
    <row r="232" spans="1:15">
      <c r="A232" t="s">
        <v>74</v>
      </c>
      <c r="B232">
        <f t="shared" si="12"/>
        <v>2.145002145002145E-2</v>
      </c>
      <c r="C232">
        <f t="shared" si="13"/>
        <v>0.19138755980861244</v>
      </c>
      <c r="D232">
        <v>-0.3</v>
      </c>
      <c r="E232" t="s">
        <v>64</v>
      </c>
      <c r="F232" t="s">
        <v>26</v>
      </c>
      <c r="G232" t="s">
        <v>22</v>
      </c>
      <c r="H232" t="s">
        <v>19</v>
      </c>
      <c r="I232" t="s">
        <v>20</v>
      </c>
      <c r="J232" t="s">
        <v>24</v>
      </c>
    </row>
    <row r="233" spans="1:15">
      <c r="A233" t="s">
        <v>75</v>
      </c>
      <c r="B233">
        <f>1/2.3</f>
        <v>0.43478260869565222</v>
      </c>
      <c r="C233">
        <f>1/16/2.3</f>
        <v>2.7173913043478264E-2</v>
      </c>
      <c r="D233">
        <v>1.7</v>
      </c>
      <c r="E233" t="s">
        <v>64</v>
      </c>
      <c r="F233" t="s">
        <v>18</v>
      </c>
      <c r="G233" t="s">
        <v>22</v>
      </c>
      <c r="H233" t="s">
        <v>24</v>
      </c>
      <c r="I233" t="s">
        <v>20</v>
      </c>
      <c r="J233" t="s">
        <v>21</v>
      </c>
      <c r="K233" t="s">
        <v>18</v>
      </c>
      <c r="L233" t="s">
        <v>22</v>
      </c>
      <c r="M233" t="s">
        <v>24</v>
      </c>
      <c r="N233" t="s">
        <v>20</v>
      </c>
      <c r="O233" t="s">
        <v>21</v>
      </c>
    </row>
    <row r="234" spans="1:15">
      <c r="A234" t="s">
        <v>75</v>
      </c>
      <c r="B234">
        <f t="shared" ref="B234:B253" si="14">1/2.3</f>
        <v>0.43478260869565222</v>
      </c>
      <c r="C234">
        <f t="shared" ref="C234:C253" si="15">1/16/2.3</f>
        <v>2.7173913043478264E-2</v>
      </c>
      <c r="D234">
        <v>1.6</v>
      </c>
      <c r="E234" t="s">
        <v>64</v>
      </c>
      <c r="F234" t="s">
        <v>20</v>
      </c>
      <c r="G234" t="s">
        <v>25</v>
      </c>
      <c r="H234" t="s">
        <v>19</v>
      </c>
      <c r="I234" t="s">
        <v>22</v>
      </c>
      <c r="J234" t="s">
        <v>18</v>
      </c>
      <c r="K234" t="s">
        <v>20</v>
      </c>
      <c r="L234" t="s">
        <v>25</v>
      </c>
      <c r="M234" t="s">
        <v>19</v>
      </c>
      <c r="N234" t="s">
        <v>22</v>
      </c>
      <c r="O234" t="s">
        <v>18</v>
      </c>
    </row>
    <row r="235" spans="1:15">
      <c r="A235" t="s">
        <v>75</v>
      </c>
      <c r="B235">
        <f t="shared" si="14"/>
        <v>0.43478260869565222</v>
      </c>
      <c r="C235">
        <f t="shared" si="15"/>
        <v>2.7173913043478264E-2</v>
      </c>
      <c r="D235">
        <v>1.5</v>
      </c>
      <c r="E235" t="s">
        <v>64</v>
      </c>
      <c r="F235" t="s">
        <v>18</v>
      </c>
      <c r="G235" t="s">
        <v>21</v>
      </c>
      <c r="H235" t="s">
        <v>25</v>
      </c>
      <c r="I235" t="s">
        <v>20</v>
      </c>
      <c r="J235" t="s">
        <v>24</v>
      </c>
      <c r="K235" t="s">
        <v>18</v>
      </c>
      <c r="L235" t="s">
        <v>21</v>
      </c>
      <c r="M235" t="s">
        <v>25</v>
      </c>
      <c r="N235" t="s">
        <v>20</v>
      </c>
      <c r="O235" t="s">
        <v>24</v>
      </c>
    </row>
    <row r="236" spans="1:15">
      <c r="A236" t="s">
        <v>75</v>
      </c>
      <c r="B236">
        <f t="shared" si="14"/>
        <v>0.43478260869565222</v>
      </c>
      <c r="C236">
        <f t="shared" si="15"/>
        <v>2.7173913043478264E-2</v>
      </c>
      <c r="D236">
        <v>1.4</v>
      </c>
      <c r="E236" t="s">
        <v>64</v>
      </c>
      <c r="F236" t="s">
        <v>26</v>
      </c>
      <c r="G236" t="s">
        <v>25</v>
      </c>
      <c r="H236" t="s">
        <v>22</v>
      </c>
      <c r="I236" t="s">
        <v>19</v>
      </c>
      <c r="J236" t="s">
        <v>23</v>
      </c>
      <c r="K236" t="s">
        <v>26</v>
      </c>
      <c r="L236" t="s">
        <v>25</v>
      </c>
      <c r="M236" t="s">
        <v>22</v>
      </c>
      <c r="N236" t="s">
        <v>19</v>
      </c>
      <c r="O236" t="s">
        <v>23</v>
      </c>
    </row>
    <row r="237" spans="1:15">
      <c r="A237" t="s">
        <v>75</v>
      </c>
      <c r="B237">
        <f t="shared" si="14"/>
        <v>0.43478260869565222</v>
      </c>
      <c r="C237">
        <f t="shared" si="15"/>
        <v>2.7173913043478264E-2</v>
      </c>
      <c r="D237">
        <v>1.3</v>
      </c>
      <c r="E237" t="s">
        <v>64</v>
      </c>
      <c r="F237" t="s">
        <v>24</v>
      </c>
      <c r="G237" t="s">
        <v>23</v>
      </c>
      <c r="H237" t="s">
        <v>19</v>
      </c>
      <c r="I237" t="s">
        <v>17</v>
      </c>
      <c r="J237" t="s">
        <v>18</v>
      </c>
      <c r="K237" t="s">
        <v>24</v>
      </c>
      <c r="L237" t="s">
        <v>23</v>
      </c>
      <c r="M237" t="s">
        <v>19</v>
      </c>
      <c r="N237" t="s">
        <v>17</v>
      </c>
      <c r="O237" t="s">
        <v>18</v>
      </c>
    </row>
    <row r="238" spans="1:15">
      <c r="A238" t="s">
        <v>75</v>
      </c>
      <c r="B238">
        <f t="shared" si="14"/>
        <v>0.43478260869565222</v>
      </c>
      <c r="C238">
        <f t="shared" si="15"/>
        <v>2.7173913043478264E-2</v>
      </c>
      <c r="D238">
        <v>1.2</v>
      </c>
      <c r="E238" t="s">
        <v>64</v>
      </c>
      <c r="F238" t="s">
        <v>26</v>
      </c>
      <c r="G238" t="s">
        <v>19</v>
      </c>
      <c r="H238" t="s">
        <v>24</v>
      </c>
      <c r="I238" t="s">
        <v>23</v>
      </c>
      <c r="J238" t="s">
        <v>17</v>
      </c>
      <c r="K238" t="s">
        <v>26</v>
      </c>
      <c r="L238" t="s">
        <v>19</v>
      </c>
      <c r="M238" t="s">
        <v>24</v>
      </c>
      <c r="N238" t="s">
        <v>23</v>
      </c>
      <c r="O238" t="s">
        <v>17</v>
      </c>
    </row>
    <row r="239" spans="1:15">
      <c r="A239" t="s">
        <v>75</v>
      </c>
      <c r="B239">
        <f t="shared" si="14"/>
        <v>0.43478260869565222</v>
      </c>
      <c r="C239">
        <f t="shared" si="15"/>
        <v>2.7173913043478264E-2</v>
      </c>
      <c r="D239">
        <v>1.1000000000000001</v>
      </c>
      <c r="E239" t="s">
        <v>64</v>
      </c>
      <c r="F239" t="s">
        <v>22</v>
      </c>
      <c r="G239" t="s">
        <v>20</v>
      </c>
      <c r="H239" t="s">
        <v>18</v>
      </c>
      <c r="I239" t="s">
        <v>17</v>
      </c>
      <c r="J239" t="s">
        <v>26</v>
      </c>
      <c r="K239" t="s">
        <v>22</v>
      </c>
      <c r="L239" t="s">
        <v>20</v>
      </c>
      <c r="M239" t="s">
        <v>18</v>
      </c>
      <c r="N239" t="s">
        <v>17</v>
      </c>
      <c r="O239" t="s">
        <v>26</v>
      </c>
    </row>
    <row r="240" spans="1:15">
      <c r="A240" t="s">
        <v>75</v>
      </c>
      <c r="B240">
        <f t="shared" si="14"/>
        <v>0.43478260869565222</v>
      </c>
      <c r="C240">
        <f t="shared" si="15"/>
        <v>2.7173913043478264E-2</v>
      </c>
      <c r="D240">
        <v>1</v>
      </c>
      <c r="E240" t="s">
        <v>64</v>
      </c>
      <c r="F240" t="s">
        <v>20</v>
      </c>
      <c r="G240" t="s">
        <v>19</v>
      </c>
      <c r="H240" t="s">
        <v>17</v>
      </c>
      <c r="I240" t="s">
        <v>23</v>
      </c>
      <c r="J240" t="s">
        <v>18</v>
      </c>
      <c r="K240" t="s">
        <v>20</v>
      </c>
      <c r="L240" t="s">
        <v>19</v>
      </c>
      <c r="M240" t="s">
        <v>17</v>
      </c>
      <c r="N240" t="s">
        <v>23</v>
      </c>
      <c r="O240" t="s">
        <v>18</v>
      </c>
    </row>
    <row r="241" spans="1:15">
      <c r="A241" t="s">
        <v>75</v>
      </c>
      <c r="B241">
        <f t="shared" si="14"/>
        <v>0.43478260869565222</v>
      </c>
      <c r="C241">
        <f t="shared" si="15"/>
        <v>2.7173913043478264E-2</v>
      </c>
      <c r="D241">
        <v>0.90000000000000102</v>
      </c>
      <c r="E241" t="s">
        <v>64</v>
      </c>
      <c r="F241" t="s">
        <v>18</v>
      </c>
      <c r="G241" t="s">
        <v>17</v>
      </c>
      <c r="H241" t="s">
        <v>22</v>
      </c>
      <c r="I241" t="s">
        <v>23</v>
      </c>
      <c r="J241" t="s">
        <v>24</v>
      </c>
      <c r="K241" t="s">
        <v>18</v>
      </c>
      <c r="L241" t="s">
        <v>17</v>
      </c>
      <c r="M241" t="s">
        <v>22</v>
      </c>
      <c r="N241" t="s">
        <v>23</v>
      </c>
      <c r="O241" t="s">
        <v>24</v>
      </c>
    </row>
    <row r="242" spans="1:15">
      <c r="A242" t="s">
        <v>75</v>
      </c>
      <c r="B242">
        <f t="shared" si="14"/>
        <v>0.43478260869565222</v>
      </c>
      <c r="C242">
        <f t="shared" si="15"/>
        <v>2.7173913043478264E-2</v>
      </c>
      <c r="D242">
        <v>0.80000000000000104</v>
      </c>
      <c r="E242" t="s">
        <v>64</v>
      </c>
      <c r="F242" t="s">
        <v>23</v>
      </c>
      <c r="G242" t="s">
        <v>20</v>
      </c>
      <c r="H242" t="s">
        <v>25</v>
      </c>
      <c r="I242" t="s">
        <v>24</v>
      </c>
      <c r="J242" t="s">
        <v>26</v>
      </c>
      <c r="K242" t="s">
        <v>23</v>
      </c>
      <c r="L242" t="s">
        <v>20</v>
      </c>
      <c r="M242" t="s">
        <v>25</v>
      </c>
      <c r="N242" t="s">
        <v>24</v>
      </c>
      <c r="O242" t="s">
        <v>26</v>
      </c>
    </row>
    <row r="243" spans="1:15">
      <c r="A243" t="s">
        <v>75</v>
      </c>
      <c r="B243">
        <f t="shared" si="14"/>
        <v>0.43478260869565222</v>
      </c>
      <c r="C243">
        <f t="shared" si="15"/>
        <v>2.7173913043478264E-2</v>
      </c>
      <c r="D243">
        <v>0.70000000000000095</v>
      </c>
      <c r="E243" t="s">
        <v>64</v>
      </c>
      <c r="F243" t="s">
        <v>19</v>
      </c>
      <c r="G243" t="s">
        <v>22</v>
      </c>
      <c r="H243" t="s">
        <v>18</v>
      </c>
      <c r="I243" t="s">
        <v>23</v>
      </c>
      <c r="J243" t="s">
        <v>17</v>
      </c>
      <c r="K243" t="s">
        <v>19</v>
      </c>
      <c r="L243" t="s">
        <v>22</v>
      </c>
      <c r="M243" t="s">
        <v>18</v>
      </c>
      <c r="N243" t="s">
        <v>23</v>
      </c>
      <c r="O243" t="s">
        <v>17</v>
      </c>
    </row>
    <row r="244" spans="1:15">
      <c r="A244" t="s">
        <v>75</v>
      </c>
      <c r="B244">
        <f t="shared" si="14"/>
        <v>0.43478260869565222</v>
      </c>
      <c r="C244">
        <f t="shared" si="15"/>
        <v>2.7173913043478264E-2</v>
      </c>
      <c r="D244">
        <v>0.6</v>
      </c>
      <c r="E244" t="s">
        <v>64</v>
      </c>
      <c r="F244" t="s">
        <v>21</v>
      </c>
      <c r="G244" t="s">
        <v>25</v>
      </c>
      <c r="H244" t="s">
        <v>20</v>
      </c>
      <c r="I244" t="s">
        <v>19</v>
      </c>
      <c r="J244" t="s">
        <v>17</v>
      </c>
      <c r="K244" t="s">
        <v>21</v>
      </c>
      <c r="L244" t="s">
        <v>25</v>
      </c>
      <c r="M244" t="s">
        <v>20</v>
      </c>
      <c r="N244" t="s">
        <v>19</v>
      </c>
      <c r="O244" t="s">
        <v>17</v>
      </c>
    </row>
    <row r="245" spans="1:15">
      <c r="A245" t="s">
        <v>75</v>
      </c>
      <c r="B245">
        <f t="shared" si="14"/>
        <v>0.43478260869565222</v>
      </c>
      <c r="C245">
        <f t="shared" si="15"/>
        <v>2.7173913043478264E-2</v>
      </c>
      <c r="D245">
        <v>0.5</v>
      </c>
      <c r="E245" t="s">
        <v>64</v>
      </c>
      <c r="F245" t="s">
        <v>21</v>
      </c>
      <c r="G245" t="s">
        <v>22</v>
      </c>
      <c r="H245" t="s">
        <v>19</v>
      </c>
      <c r="I245" t="s">
        <v>24</v>
      </c>
      <c r="J245" t="s">
        <v>17</v>
      </c>
      <c r="K245" t="s">
        <v>21</v>
      </c>
      <c r="L245" t="s">
        <v>22</v>
      </c>
      <c r="M245" t="s">
        <v>19</v>
      </c>
      <c r="N245" t="s">
        <v>24</v>
      </c>
      <c r="O245" t="s">
        <v>17</v>
      </c>
    </row>
    <row r="246" spans="1:15">
      <c r="A246" t="s">
        <v>75</v>
      </c>
      <c r="B246">
        <f t="shared" si="14"/>
        <v>0.43478260869565222</v>
      </c>
      <c r="C246">
        <f t="shared" si="15"/>
        <v>2.7173913043478264E-2</v>
      </c>
      <c r="D246">
        <v>0.4</v>
      </c>
      <c r="E246" t="s">
        <v>64</v>
      </c>
      <c r="F246" t="s">
        <v>26</v>
      </c>
      <c r="G246" t="s">
        <v>19</v>
      </c>
      <c r="H246" t="s">
        <v>22</v>
      </c>
      <c r="I246" t="s">
        <v>23</v>
      </c>
      <c r="J246" t="s">
        <v>21</v>
      </c>
      <c r="K246" t="s">
        <v>26</v>
      </c>
      <c r="N246" t="s">
        <v>23</v>
      </c>
      <c r="O246" t="s">
        <v>21</v>
      </c>
    </row>
    <row r="247" spans="1:15">
      <c r="A247" t="s">
        <v>75</v>
      </c>
      <c r="B247">
        <f t="shared" si="14"/>
        <v>0.43478260869565222</v>
      </c>
      <c r="C247">
        <f t="shared" si="15"/>
        <v>2.7173913043478264E-2</v>
      </c>
      <c r="D247">
        <v>0.3</v>
      </c>
      <c r="E247" t="s">
        <v>64</v>
      </c>
      <c r="F247" t="s">
        <v>26</v>
      </c>
      <c r="G247" t="s">
        <v>21</v>
      </c>
      <c r="H247" t="s">
        <v>24</v>
      </c>
      <c r="I247" t="s">
        <v>20</v>
      </c>
      <c r="J247" t="s">
        <v>19</v>
      </c>
    </row>
    <row r="248" spans="1:15">
      <c r="A248" t="s">
        <v>75</v>
      </c>
      <c r="B248">
        <f t="shared" si="14"/>
        <v>0.43478260869565222</v>
      </c>
      <c r="C248">
        <f t="shared" si="15"/>
        <v>2.7173913043478264E-2</v>
      </c>
      <c r="D248">
        <v>0.2</v>
      </c>
      <c r="E248" t="s">
        <v>64</v>
      </c>
      <c r="F248" t="s">
        <v>19</v>
      </c>
      <c r="G248" t="s">
        <v>18</v>
      </c>
      <c r="H248" t="s">
        <v>25</v>
      </c>
      <c r="I248" t="s">
        <v>21</v>
      </c>
      <c r="J248" t="s">
        <v>23</v>
      </c>
    </row>
    <row r="249" spans="1:15">
      <c r="A249" t="s">
        <v>75</v>
      </c>
      <c r="B249">
        <f t="shared" si="14"/>
        <v>0.43478260869565222</v>
      </c>
      <c r="C249">
        <f t="shared" si="15"/>
        <v>2.7173913043478264E-2</v>
      </c>
      <c r="D249">
        <v>9.9999999999999895E-2</v>
      </c>
      <c r="E249" t="s">
        <v>64</v>
      </c>
      <c r="F249" t="s">
        <v>22</v>
      </c>
      <c r="G249" t="s">
        <v>26</v>
      </c>
      <c r="H249" t="s">
        <v>21</v>
      </c>
      <c r="I249" t="s">
        <v>19</v>
      </c>
      <c r="J249" t="s">
        <v>20</v>
      </c>
    </row>
    <row r="250" spans="1:15">
      <c r="A250" t="s">
        <v>75</v>
      </c>
      <c r="B250">
        <f t="shared" si="14"/>
        <v>0.43478260869565222</v>
      </c>
      <c r="C250">
        <f t="shared" si="15"/>
        <v>2.7173913043478264E-2</v>
      </c>
      <c r="D250">
        <v>0</v>
      </c>
      <c r="E250" t="s">
        <v>64</v>
      </c>
      <c r="F250" t="s">
        <v>18</v>
      </c>
      <c r="G250" t="s">
        <v>23</v>
      </c>
      <c r="H250" t="s">
        <v>21</v>
      </c>
      <c r="I250" t="s">
        <v>17</v>
      </c>
      <c r="J250" t="s">
        <v>19</v>
      </c>
    </row>
    <row r="251" spans="1:15">
      <c r="A251" t="s">
        <v>75</v>
      </c>
      <c r="B251">
        <f t="shared" si="14"/>
        <v>0.43478260869565222</v>
      </c>
      <c r="C251">
        <f t="shared" si="15"/>
        <v>2.7173913043478264E-2</v>
      </c>
      <c r="D251">
        <v>-0.1</v>
      </c>
      <c r="E251" t="s">
        <v>64</v>
      </c>
      <c r="F251" t="s">
        <v>18</v>
      </c>
      <c r="G251" t="s">
        <v>25</v>
      </c>
      <c r="H251" t="s">
        <v>26</v>
      </c>
      <c r="I251" t="s">
        <v>17</v>
      </c>
      <c r="J251" t="s">
        <v>22</v>
      </c>
    </row>
    <row r="252" spans="1:15">
      <c r="A252" t="s">
        <v>75</v>
      </c>
      <c r="B252">
        <f t="shared" si="14"/>
        <v>0.43478260869565222</v>
      </c>
      <c r="C252">
        <f t="shared" si="15"/>
        <v>2.7173913043478264E-2</v>
      </c>
      <c r="D252">
        <v>-0.2</v>
      </c>
      <c r="E252" t="s">
        <v>64</v>
      </c>
      <c r="F252" t="s">
        <v>19</v>
      </c>
      <c r="G252" t="s">
        <v>25</v>
      </c>
      <c r="H252" t="s">
        <v>17</v>
      </c>
      <c r="I252" t="s">
        <v>22</v>
      </c>
      <c r="J252" t="s">
        <v>20</v>
      </c>
    </row>
    <row r="253" spans="1:15">
      <c r="A253" t="s">
        <v>75</v>
      </c>
      <c r="B253">
        <f t="shared" si="14"/>
        <v>0.43478260869565222</v>
      </c>
      <c r="C253">
        <f t="shared" si="15"/>
        <v>2.7173913043478264E-2</v>
      </c>
      <c r="D253">
        <v>-0.3</v>
      </c>
      <c r="E253" t="s">
        <v>64</v>
      </c>
      <c r="F253" t="s">
        <v>22</v>
      </c>
      <c r="G253" t="s">
        <v>21</v>
      </c>
      <c r="H253" t="s">
        <v>25</v>
      </c>
      <c r="I253" t="s">
        <v>19</v>
      </c>
      <c r="J253" t="s">
        <v>17</v>
      </c>
    </row>
    <row r="254" spans="1:15">
      <c r="A254" t="s">
        <v>76</v>
      </c>
      <c r="B254">
        <f>1/3.95</f>
        <v>0.25316455696202528</v>
      </c>
      <c r="C254">
        <f>1/16/3.95</f>
        <v>1.582278481012658E-2</v>
      </c>
      <c r="D254">
        <v>1.7</v>
      </c>
      <c r="E254" t="s">
        <v>64</v>
      </c>
      <c r="F254" t="s">
        <v>25</v>
      </c>
      <c r="G254" t="s">
        <v>17</v>
      </c>
      <c r="H254" t="s">
        <v>24</v>
      </c>
      <c r="I254" t="s">
        <v>26</v>
      </c>
      <c r="J254" t="s">
        <v>22</v>
      </c>
      <c r="K254" t="s">
        <v>25</v>
      </c>
      <c r="L254" t="s">
        <v>17</v>
      </c>
      <c r="M254" t="s">
        <v>24</v>
      </c>
      <c r="N254" t="s">
        <v>26</v>
      </c>
      <c r="O254" t="s">
        <v>22</v>
      </c>
    </row>
    <row r="255" spans="1:15">
      <c r="A255" t="s">
        <v>76</v>
      </c>
      <c r="B255">
        <f t="shared" ref="B255:B274" si="16">1/3.95</f>
        <v>0.25316455696202528</v>
      </c>
      <c r="C255">
        <f t="shared" ref="C255:C274" si="17">1/16/3.95</f>
        <v>1.582278481012658E-2</v>
      </c>
      <c r="D255">
        <v>1.6</v>
      </c>
      <c r="E255" t="s">
        <v>64</v>
      </c>
      <c r="F255" t="s">
        <v>24</v>
      </c>
      <c r="G255" t="s">
        <v>20</v>
      </c>
      <c r="H255" t="s">
        <v>22</v>
      </c>
      <c r="I255" t="s">
        <v>21</v>
      </c>
      <c r="J255" t="s">
        <v>17</v>
      </c>
      <c r="K255" t="s">
        <v>24</v>
      </c>
      <c r="L255" t="s">
        <v>20</v>
      </c>
      <c r="M255" t="s">
        <v>22</v>
      </c>
      <c r="N255" t="s">
        <v>21</v>
      </c>
      <c r="O255" t="s">
        <v>17</v>
      </c>
    </row>
    <row r="256" spans="1:15">
      <c r="A256" t="s">
        <v>76</v>
      </c>
      <c r="B256">
        <f t="shared" si="16"/>
        <v>0.25316455696202528</v>
      </c>
      <c r="C256">
        <f t="shared" si="17"/>
        <v>1.582278481012658E-2</v>
      </c>
      <c r="D256">
        <v>1.5</v>
      </c>
      <c r="E256" t="s">
        <v>64</v>
      </c>
      <c r="F256" t="s">
        <v>22</v>
      </c>
      <c r="G256" t="s">
        <v>26</v>
      </c>
      <c r="H256" t="s">
        <v>23</v>
      </c>
      <c r="I256" t="s">
        <v>21</v>
      </c>
      <c r="J256" t="s">
        <v>25</v>
      </c>
      <c r="K256" t="s">
        <v>22</v>
      </c>
      <c r="L256" t="s">
        <v>26</v>
      </c>
      <c r="M256" t="s">
        <v>23</v>
      </c>
      <c r="N256" t="s">
        <v>21</v>
      </c>
      <c r="O256" t="s">
        <v>25</v>
      </c>
    </row>
    <row r="257" spans="1:15">
      <c r="A257" t="s">
        <v>76</v>
      </c>
      <c r="B257">
        <f t="shared" si="16"/>
        <v>0.25316455696202528</v>
      </c>
      <c r="C257">
        <f t="shared" si="17"/>
        <v>1.582278481012658E-2</v>
      </c>
      <c r="D257">
        <v>1.4</v>
      </c>
      <c r="E257" t="s">
        <v>64</v>
      </c>
      <c r="F257" t="s">
        <v>23</v>
      </c>
      <c r="G257" t="s">
        <v>20</v>
      </c>
      <c r="H257" t="s">
        <v>17</v>
      </c>
      <c r="I257" t="s">
        <v>24</v>
      </c>
      <c r="J257" t="s">
        <v>25</v>
      </c>
      <c r="K257" t="s">
        <v>23</v>
      </c>
      <c r="L257" t="s">
        <v>20</v>
      </c>
      <c r="M257" t="s">
        <v>17</v>
      </c>
      <c r="N257" t="s">
        <v>24</v>
      </c>
      <c r="O257" t="s">
        <v>25</v>
      </c>
    </row>
    <row r="258" spans="1:15">
      <c r="A258" t="s">
        <v>76</v>
      </c>
      <c r="B258">
        <f t="shared" si="16"/>
        <v>0.25316455696202528</v>
      </c>
      <c r="C258">
        <f t="shared" si="17"/>
        <v>1.582278481012658E-2</v>
      </c>
      <c r="D258">
        <v>1.3</v>
      </c>
      <c r="E258" t="s">
        <v>64</v>
      </c>
      <c r="F258" t="s">
        <v>26</v>
      </c>
      <c r="G258" t="s">
        <v>20</v>
      </c>
      <c r="H258" t="s">
        <v>24</v>
      </c>
      <c r="I258" t="s">
        <v>18</v>
      </c>
      <c r="J258" t="s">
        <v>25</v>
      </c>
      <c r="K258" t="s">
        <v>26</v>
      </c>
      <c r="L258" t="s">
        <v>20</v>
      </c>
      <c r="M258" t="s">
        <v>24</v>
      </c>
      <c r="N258" t="s">
        <v>18</v>
      </c>
      <c r="O258" t="s">
        <v>25</v>
      </c>
    </row>
    <row r="259" spans="1:15">
      <c r="A259" t="s">
        <v>76</v>
      </c>
      <c r="B259">
        <f t="shared" si="16"/>
        <v>0.25316455696202528</v>
      </c>
      <c r="C259">
        <f t="shared" si="17"/>
        <v>1.582278481012658E-2</v>
      </c>
      <c r="D259">
        <v>1.2</v>
      </c>
      <c r="E259" t="s">
        <v>64</v>
      </c>
      <c r="F259" t="s">
        <v>19</v>
      </c>
      <c r="G259" t="s">
        <v>21</v>
      </c>
      <c r="H259" t="s">
        <v>20</v>
      </c>
      <c r="I259" t="s">
        <v>24</v>
      </c>
      <c r="J259" t="s">
        <v>18</v>
      </c>
      <c r="K259" t="s">
        <v>19</v>
      </c>
      <c r="L259" t="s">
        <v>21</v>
      </c>
      <c r="M259" t="s">
        <v>20</v>
      </c>
      <c r="N259" t="s">
        <v>24</v>
      </c>
      <c r="O259" t="s">
        <v>18</v>
      </c>
    </row>
    <row r="260" spans="1:15">
      <c r="A260" t="s">
        <v>76</v>
      </c>
      <c r="B260">
        <f t="shared" si="16"/>
        <v>0.25316455696202528</v>
      </c>
      <c r="C260">
        <f t="shared" si="17"/>
        <v>1.582278481012658E-2</v>
      </c>
      <c r="D260">
        <v>1.1000000000000001</v>
      </c>
      <c r="E260" t="s">
        <v>64</v>
      </c>
      <c r="F260" t="s">
        <v>26</v>
      </c>
      <c r="G260" t="s">
        <v>19</v>
      </c>
      <c r="H260" t="s">
        <v>20</v>
      </c>
      <c r="I260" t="s">
        <v>24</v>
      </c>
      <c r="J260" t="s">
        <v>25</v>
      </c>
      <c r="K260" t="s">
        <v>26</v>
      </c>
      <c r="L260" t="s">
        <v>19</v>
      </c>
      <c r="M260" t="s">
        <v>20</v>
      </c>
      <c r="N260" t="s">
        <v>24</v>
      </c>
      <c r="O260" t="s">
        <v>25</v>
      </c>
    </row>
    <row r="261" spans="1:15">
      <c r="A261" t="s">
        <v>76</v>
      </c>
      <c r="B261">
        <f t="shared" si="16"/>
        <v>0.25316455696202528</v>
      </c>
      <c r="C261">
        <f t="shared" si="17"/>
        <v>1.582278481012658E-2</v>
      </c>
      <c r="D261">
        <v>1</v>
      </c>
      <c r="E261" t="s">
        <v>64</v>
      </c>
      <c r="F261" t="s">
        <v>23</v>
      </c>
      <c r="G261" t="s">
        <v>18</v>
      </c>
      <c r="H261" t="s">
        <v>26</v>
      </c>
      <c r="I261" t="s">
        <v>24</v>
      </c>
      <c r="J261" t="s">
        <v>20</v>
      </c>
      <c r="K261" t="s">
        <v>23</v>
      </c>
      <c r="L261" t="s">
        <v>18</v>
      </c>
      <c r="M261" t="s">
        <v>26</v>
      </c>
      <c r="N261" t="s">
        <v>24</v>
      </c>
      <c r="O261" t="s">
        <v>20</v>
      </c>
    </row>
    <row r="262" spans="1:15">
      <c r="A262" t="s">
        <v>76</v>
      </c>
      <c r="B262">
        <f t="shared" si="16"/>
        <v>0.25316455696202528</v>
      </c>
      <c r="C262">
        <f t="shared" si="17"/>
        <v>1.582278481012658E-2</v>
      </c>
      <c r="D262">
        <v>0.90000000000000102</v>
      </c>
      <c r="E262" t="s">
        <v>64</v>
      </c>
      <c r="F262" t="s">
        <v>20</v>
      </c>
      <c r="G262" t="s">
        <v>17</v>
      </c>
      <c r="H262" t="s">
        <v>24</v>
      </c>
      <c r="I262" t="s">
        <v>21</v>
      </c>
      <c r="J262" t="s">
        <v>22</v>
      </c>
      <c r="K262" t="s">
        <v>20</v>
      </c>
      <c r="L262" t="s">
        <v>17</v>
      </c>
      <c r="M262" t="s">
        <v>24</v>
      </c>
      <c r="N262" t="s">
        <v>21</v>
      </c>
      <c r="O262" t="s">
        <v>22</v>
      </c>
    </row>
    <row r="263" spans="1:15">
      <c r="A263" t="s">
        <v>76</v>
      </c>
      <c r="B263">
        <f t="shared" si="16"/>
        <v>0.25316455696202528</v>
      </c>
      <c r="C263">
        <f t="shared" si="17"/>
        <v>1.582278481012658E-2</v>
      </c>
      <c r="D263">
        <v>0.80000000000000104</v>
      </c>
      <c r="E263" t="s">
        <v>64</v>
      </c>
      <c r="F263" t="s">
        <v>20</v>
      </c>
      <c r="G263" t="s">
        <v>22</v>
      </c>
      <c r="H263" t="s">
        <v>25</v>
      </c>
      <c r="I263" t="s">
        <v>21</v>
      </c>
      <c r="J263" t="s">
        <v>26</v>
      </c>
    </row>
    <row r="264" spans="1:15">
      <c r="A264" t="s">
        <v>76</v>
      </c>
      <c r="B264">
        <f t="shared" si="16"/>
        <v>0.25316455696202528</v>
      </c>
      <c r="C264">
        <f t="shared" si="17"/>
        <v>1.582278481012658E-2</v>
      </c>
      <c r="D264">
        <v>0.70000000000000095</v>
      </c>
      <c r="E264" t="s">
        <v>64</v>
      </c>
      <c r="F264" t="s">
        <v>22</v>
      </c>
      <c r="G264" t="s">
        <v>19</v>
      </c>
      <c r="H264" t="s">
        <v>18</v>
      </c>
      <c r="I264" t="s">
        <v>25</v>
      </c>
      <c r="J264" t="s">
        <v>26</v>
      </c>
    </row>
    <row r="265" spans="1:15">
      <c r="A265" t="s">
        <v>76</v>
      </c>
      <c r="B265">
        <f t="shared" si="16"/>
        <v>0.25316455696202528</v>
      </c>
      <c r="C265">
        <f t="shared" si="17"/>
        <v>1.582278481012658E-2</v>
      </c>
      <c r="D265">
        <v>0.6</v>
      </c>
      <c r="E265" t="s">
        <v>64</v>
      </c>
      <c r="F265" t="s">
        <v>24</v>
      </c>
      <c r="G265" t="s">
        <v>25</v>
      </c>
      <c r="H265" t="s">
        <v>17</v>
      </c>
      <c r="I265" t="s">
        <v>19</v>
      </c>
      <c r="J265" t="s">
        <v>21</v>
      </c>
    </row>
    <row r="266" spans="1:15">
      <c r="A266" t="s">
        <v>76</v>
      </c>
      <c r="B266">
        <f t="shared" si="16"/>
        <v>0.25316455696202528</v>
      </c>
      <c r="C266">
        <f t="shared" si="17"/>
        <v>1.582278481012658E-2</v>
      </c>
      <c r="D266">
        <v>0.5</v>
      </c>
      <c r="E266" t="s">
        <v>64</v>
      </c>
      <c r="F266" t="s">
        <v>24</v>
      </c>
      <c r="G266" t="s">
        <v>20</v>
      </c>
      <c r="H266" t="s">
        <v>26</v>
      </c>
      <c r="I266" t="s">
        <v>23</v>
      </c>
      <c r="J266" t="s">
        <v>18</v>
      </c>
    </row>
    <row r="267" spans="1:15">
      <c r="A267" t="s">
        <v>76</v>
      </c>
      <c r="B267">
        <f t="shared" si="16"/>
        <v>0.25316455696202528</v>
      </c>
      <c r="C267">
        <f t="shared" si="17"/>
        <v>1.582278481012658E-2</v>
      </c>
      <c r="D267">
        <v>0.4</v>
      </c>
      <c r="E267" t="s">
        <v>64</v>
      </c>
      <c r="F267" t="s">
        <v>17</v>
      </c>
      <c r="G267" t="s">
        <v>18</v>
      </c>
      <c r="H267" t="s">
        <v>19</v>
      </c>
      <c r="I267" t="s">
        <v>25</v>
      </c>
      <c r="J267" t="s">
        <v>21</v>
      </c>
    </row>
    <row r="268" spans="1:15">
      <c r="A268" t="s">
        <v>76</v>
      </c>
      <c r="B268">
        <f t="shared" si="16"/>
        <v>0.25316455696202528</v>
      </c>
      <c r="C268">
        <f t="shared" si="17"/>
        <v>1.582278481012658E-2</v>
      </c>
      <c r="D268">
        <v>0.3</v>
      </c>
      <c r="E268" t="s">
        <v>64</v>
      </c>
      <c r="F268" t="s">
        <v>24</v>
      </c>
      <c r="G268" t="s">
        <v>19</v>
      </c>
      <c r="H268" t="s">
        <v>18</v>
      </c>
      <c r="I268" t="s">
        <v>21</v>
      </c>
      <c r="J268" t="s">
        <v>17</v>
      </c>
    </row>
    <row r="269" spans="1:15">
      <c r="A269" t="s">
        <v>76</v>
      </c>
      <c r="B269">
        <f t="shared" si="16"/>
        <v>0.25316455696202528</v>
      </c>
      <c r="C269">
        <f t="shared" si="17"/>
        <v>1.582278481012658E-2</v>
      </c>
      <c r="D269">
        <v>0.2</v>
      </c>
      <c r="E269" t="s">
        <v>64</v>
      </c>
      <c r="F269" t="s">
        <v>19</v>
      </c>
      <c r="G269" t="s">
        <v>26</v>
      </c>
      <c r="H269" t="s">
        <v>20</v>
      </c>
      <c r="I269" t="s">
        <v>22</v>
      </c>
      <c r="J269" t="s">
        <v>25</v>
      </c>
    </row>
    <row r="270" spans="1:15">
      <c r="A270" t="s">
        <v>76</v>
      </c>
      <c r="B270">
        <f t="shared" si="16"/>
        <v>0.25316455696202528</v>
      </c>
      <c r="C270">
        <f t="shared" si="17"/>
        <v>1.582278481012658E-2</v>
      </c>
      <c r="D270">
        <v>9.9999999999999895E-2</v>
      </c>
      <c r="E270" t="s">
        <v>64</v>
      </c>
      <c r="F270" t="s">
        <v>21</v>
      </c>
      <c r="G270" t="s">
        <v>18</v>
      </c>
      <c r="H270" t="s">
        <v>22</v>
      </c>
      <c r="I270" t="s">
        <v>25</v>
      </c>
      <c r="J270" t="s">
        <v>17</v>
      </c>
    </row>
    <row r="271" spans="1:15">
      <c r="A271" t="s">
        <v>76</v>
      </c>
      <c r="B271">
        <f t="shared" si="16"/>
        <v>0.25316455696202528</v>
      </c>
      <c r="C271">
        <f t="shared" si="17"/>
        <v>1.582278481012658E-2</v>
      </c>
      <c r="D271">
        <v>0</v>
      </c>
      <c r="E271" t="s">
        <v>64</v>
      </c>
      <c r="F271" t="s">
        <v>21</v>
      </c>
      <c r="G271" t="s">
        <v>26</v>
      </c>
      <c r="H271" t="s">
        <v>23</v>
      </c>
      <c r="I271" t="s">
        <v>24</v>
      </c>
      <c r="J271" t="s">
        <v>20</v>
      </c>
    </row>
    <row r="272" spans="1:15">
      <c r="A272" t="s">
        <v>76</v>
      </c>
      <c r="B272">
        <f t="shared" si="16"/>
        <v>0.25316455696202528</v>
      </c>
      <c r="C272">
        <f t="shared" si="17"/>
        <v>1.582278481012658E-2</v>
      </c>
      <c r="D272">
        <v>-0.1</v>
      </c>
      <c r="E272" t="s">
        <v>64</v>
      </c>
      <c r="F272" t="s">
        <v>17</v>
      </c>
      <c r="G272" t="s">
        <v>24</v>
      </c>
      <c r="H272" t="s">
        <v>25</v>
      </c>
      <c r="I272" t="s">
        <v>19</v>
      </c>
      <c r="J272" t="s">
        <v>26</v>
      </c>
    </row>
    <row r="273" spans="1:15">
      <c r="A273" t="s">
        <v>76</v>
      </c>
      <c r="B273">
        <f t="shared" si="16"/>
        <v>0.25316455696202528</v>
      </c>
      <c r="C273">
        <f t="shared" si="17"/>
        <v>1.582278481012658E-2</v>
      </c>
      <c r="D273">
        <v>-0.2</v>
      </c>
      <c r="E273" t="s">
        <v>64</v>
      </c>
      <c r="F273" t="s">
        <v>24</v>
      </c>
      <c r="G273" t="s">
        <v>26</v>
      </c>
      <c r="H273" t="s">
        <v>25</v>
      </c>
      <c r="I273" t="s">
        <v>20</v>
      </c>
      <c r="J273" t="s">
        <v>18</v>
      </c>
    </row>
    <row r="274" spans="1:15">
      <c r="A274" t="s">
        <v>76</v>
      </c>
      <c r="B274">
        <f t="shared" si="16"/>
        <v>0.25316455696202528</v>
      </c>
      <c r="C274">
        <f t="shared" si="17"/>
        <v>1.582278481012658E-2</v>
      </c>
      <c r="D274">
        <v>-0.3</v>
      </c>
      <c r="E274" t="s">
        <v>64</v>
      </c>
      <c r="F274" t="s">
        <v>25</v>
      </c>
      <c r="G274" t="s">
        <v>22</v>
      </c>
      <c r="H274" t="s">
        <v>21</v>
      </c>
      <c r="I274" t="s">
        <v>24</v>
      </c>
      <c r="J274" t="s">
        <v>17</v>
      </c>
    </row>
    <row r="275" spans="1:15">
      <c r="A275" t="s">
        <v>77</v>
      </c>
      <c r="B275">
        <f>1/6.61</f>
        <v>0.15128593040847199</v>
      </c>
      <c r="C275">
        <f>1/16/6.61</f>
        <v>9.4553706505294995E-3</v>
      </c>
      <c r="D275">
        <v>1.7</v>
      </c>
      <c r="E275" t="s">
        <v>64</v>
      </c>
      <c r="F275" t="s">
        <v>24</v>
      </c>
      <c r="G275" t="s">
        <v>18</v>
      </c>
      <c r="H275" t="s">
        <v>25</v>
      </c>
      <c r="I275" t="s">
        <v>21</v>
      </c>
      <c r="J275" t="s">
        <v>20</v>
      </c>
      <c r="K275" t="s">
        <v>24</v>
      </c>
      <c r="L275" t="s">
        <v>18</v>
      </c>
      <c r="M275" t="s">
        <v>25</v>
      </c>
      <c r="N275" t="s">
        <v>21</v>
      </c>
      <c r="O275" t="s">
        <v>20</v>
      </c>
    </row>
    <row r="276" spans="1:15">
      <c r="A276" t="s">
        <v>77</v>
      </c>
      <c r="B276">
        <f t="shared" ref="B276:B295" si="18">1/6.61</f>
        <v>0.15128593040847199</v>
      </c>
      <c r="C276">
        <f t="shared" ref="C276:C295" si="19">1/16/6.61</f>
        <v>9.4553706505294995E-3</v>
      </c>
      <c r="D276">
        <v>1.6</v>
      </c>
      <c r="E276" t="s">
        <v>64</v>
      </c>
      <c r="F276" t="s">
        <v>18</v>
      </c>
      <c r="G276" t="s">
        <v>19</v>
      </c>
      <c r="H276" t="s">
        <v>22</v>
      </c>
      <c r="I276" t="s">
        <v>17</v>
      </c>
      <c r="J276" t="s">
        <v>26</v>
      </c>
      <c r="K276" t="s">
        <v>18</v>
      </c>
      <c r="L276" t="s">
        <v>19</v>
      </c>
      <c r="M276" t="s">
        <v>22</v>
      </c>
      <c r="N276" t="s">
        <v>17</v>
      </c>
      <c r="O276" t="s">
        <v>26</v>
      </c>
    </row>
    <row r="277" spans="1:15">
      <c r="A277" t="s">
        <v>77</v>
      </c>
      <c r="B277">
        <f t="shared" si="18"/>
        <v>0.15128593040847199</v>
      </c>
      <c r="C277">
        <f t="shared" si="19"/>
        <v>9.4553706505294995E-3</v>
      </c>
      <c r="D277">
        <v>1.5</v>
      </c>
      <c r="E277" t="s">
        <v>64</v>
      </c>
      <c r="F277" t="s">
        <v>20</v>
      </c>
      <c r="G277" t="s">
        <v>21</v>
      </c>
      <c r="H277" t="s">
        <v>22</v>
      </c>
      <c r="I277" t="s">
        <v>26</v>
      </c>
      <c r="J277" t="s">
        <v>18</v>
      </c>
      <c r="K277" t="s">
        <v>20</v>
      </c>
      <c r="L277" t="s">
        <v>21</v>
      </c>
      <c r="M277" t="s">
        <v>22</v>
      </c>
      <c r="N277" t="s">
        <v>26</v>
      </c>
      <c r="O277" t="s">
        <v>18</v>
      </c>
    </row>
    <row r="278" spans="1:15">
      <c r="A278" t="s">
        <v>77</v>
      </c>
      <c r="B278">
        <f t="shared" si="18"/>
        <v>0.15128593040847199</v>
      </c>
      <c r="C278">
        <f t="shared" si="19"/>
        <v>9.4553706505294995E-3</v>
      </c>
      <c r="D278">
        <v>1.4</v>
      </c>
      <c r="E278" t="s">
        <v>64</v>
      </c>
      <c r="F278" t="s">
        <v>25</v>
      </c>
      <c r="G278" t="s">
        <v>23</v>
      </c>
      <c r="H278" t="s">
        <v>19</v>
      </c>
      <c r="I278" t="s">
        <v>20</v>
      </c>
      <c r="J278" t="s">
        <v>17</v>
      </c>
      <c r="K278" t="s">
        <v>25</v>
      </c>
      <c r="L278" t="s">
        <v>23</v>
      </c>
      <c r="M278" t="s">
        <v>19</v>
      </c>
      <c r="N278" t="s">
        <v>20</v>
      </c>
      <c r="O278" t="s">
        <v>17</v>
      </c>
    </row>
    <row r="279" spans="1:15">
      <c r="A279" t="s">
        <v>77</v>
      </c>
      <c r="B279">
        <f t="shared" si="18"/>
        <v>0.15128593040847199</v>
      </c>
      <c r="C279">
        <f t="shared" si="19"/>
        <v>9.4553706505294995E-3</v>
      </c>
      <c r="D279">
        <v>1.3</v>
      </c>
      <c r="E279" t="s">
        <v>64</v>
      </c>
      <c r="F279" t="s">
        <v>25</v>
      </c>
      <c r="G279" t="s">
        <v>19</v>
      </c>
      <c r="H279" t="s">
        <v>18</v>
      </c>
      <c r="I279" t="s">
        <v>20</v>
      </c>
      <c r="J279" t="s">
        <v>24</v>
      </c>
      <c r="K279" t="s">
        <v>25</v>
      </c>
      <c r="L279" t="s">
        <v>19</v>
      </c>
      <c r="M279" t="s">
        <v>18</v>
      </c>
      <c r="N279" t="s">
        <v>20</v>
      </c>
      <c r="O279" t="s">
        <v>24</v>
      </c>
    </row>
    <row r="280" spans="1:15">
      <c r="A280" t="s">
        <v>77</v>
      </c>
      <c r="B280">
        <f t="shared" si="18"/>
        <v>0.15128593040847199</v>
      </c>
      <c r="C280">
        <f t="shared" si="19"/>
        <v>9.4553706505294995E-3</v>
      </c>
      <c r="D280">
        <v>1.2</v>
      </c>
      <c r="E280" t="s">
        <v>64</v>
      </c>
      <c r="F280" t="s">
        <v>25</v>
      </c>
      <c r="G280" t="s">
        <v>19</v>
      </c>
      <c r="H280" t="s">
        <v>21</v>
      </c>
      <c r="I280" t="s">
        <v>22</v>
      </c>
      <c r="J280" t="s">
        <v>18</v>
      </c>
      <c r="K280" t="s">
        <v>25</v>
      </c>
      <c r="M280" t="s">
        <v>21</v>
      </c>
      <c r="N280" t="s">
        <v>22</v>
      </c>
      <c r="O280" t="s">
        <v>18</v>
      </c>
    </row>
    <row r="281" spans="1:15">
      <c r="A281" t="s">
        <v>77</v>
      </c>
      <c r="B281">
        <f t="shared" si="18"/>
        <v>0.15128593040847199</v>
      </c>
      <c r="C281">
        <f t="shared" si="19"/>
        <v>9.4553706505294995E-3</v>
      </c>
      <c r="D281">
        <v>1.1000000000000001</v>
      </c>
      <c r="E281" t="s">
        <v>64</v>
      </c>
      <c r="F281" t="s">
        <v>21</v>
      </c>
      <c r="G281" t="s">
        <v>17</v>
      </c>
      <c r="H281" t="s">
        <v>22</v>
      </c>
      <c r="I281" t="s">
        <v>24</v>
      </c>
      <c r="J281" t="s">
        <v>19</v>
      </c>
    </row>
    <row r="282" spans="1:15">
      <c r="A282" t="s">
        <v>77</v>
      </c>
      <c r="B282">
        <f t="shared" si="18"/>
        <v>0.15128593040847199</v>
      </c>
      <c r="C282">
        <f t="shared" si="19"/>
        <v>9.4553706505294995E-3</v>
      </c>
      <c r="D282">
        <v>1</v>
      </c>
      <c r="E282" t="s">
        <v>64</v>
      </c>
      <c r="F282" t="s">
        <v>20</v>
      </c>
      <c r="G282" t="s">
        <v>21</v>
      </c>
      <c r="H282" t="s">
        <v>23</v>
      </c>
      <c r="I282" t="s">
        <v>26</v>
      </c>
      <c r="J282" t="s">
        <v>25</v>
      </c>
    </row>
    <row r="283" spans="1:15">
      <c r="A283" t="s">
        <v>77</v>
      </c>
      <c r="B283">
        <f t="shared" si="18"/>
        <v>0.15128593040847199</v>
      </c>
      <c r="C283">
        <f t="shared" si="19"/>
        <v>9.4553706505294995E-3</v>
      </c>
      <c r="D283">
        <v>0.90000000000000102</v>
      </c>
      <c r="E283" t="s">
        <v>64</v>
      </c>
      <c r="F283" t="s">
        <v>19</v>
      </c>
      <c r="G283" t="s">
        <v>24</v>
      </c>
      <c r="H283" t="s">
        <v>18</v>
      </c>
      <c r="I283" t="s">
        <v>22</v>
      </c>
      <c r="J283" t="s">
        <v>25</v>
      </c>
    </row>
    <row r="284" spans="1:15">
      <c r="A284" t="s">
        <v>77</v>
      </c>
      <c r="B284">
        <f t="shared" si="18"/>
        <v>0.15128593040847199</v>
      </c>
      <c r="C284">
        <f t="shared" si="19"/>
        <v>9.4553706505294995E-3</v>
      </c>
      <c r="D284">
        <v>0.80000000000000104</v>
      </c>
      <c r="E284" t="s">
        <v>64</v>
      </c>
      <c r="F284" t="s">
        <v>24</v>
      </c>
      <c r="G284" t="s">
        <v>19</v>
      </c>
      <c r="H284" t="s">
        <v>18</v>
      </c>
      <c r="I284" t="s">
        <v>22</v>
      </c>
      <c r="J284" t="s">
        <v>21</v>
      </c>
    </row>
    <row r="285" spans="1:15">
      <c r="A285" t="s">
        <v>77</v>
      </c>
      <c r="B285">
        <f t="shared" si="18"/>
        <v>0.15128593040847199</v>
      </c>
      <c r="C285">
        <f t="shared" si="19"/>
        <v>9.4553706505294995E-3</v>
      </c>
      <c r="D285">
        <v>0.70000000000000095</v>
      </c>
      <c r="E285" t="s">
        <v>64</v>
      </c>
      <c r="F285" t="s">
        <v>19</v>
      </c>
      <c r="G285" t="s">
        <v>20</v>
      </c>
      <c r="H285" t="s">
        <v>18</v>
      </c>
      <c r="I285" t="s">
        <v>25</v>
      </c>
      <c r="J285" t="s">
        <v>26</v>
      </c>
    </row>
    <row r="286" spans="1:15">
      <c r="A286" t="s">
        <v>77</v>
      </c>
      <c r="B286">
        <f t="shared" si="18"/>
        <v>0.15128593040847199</v>
      </c>
      <c r="C286">
        <f t="shared" si="19"/>
        <v>9.4553706505294995E-3</v>
      </c>
      <c r="D286">
        <v>0.6</v>
      </c>
      <c r="E286" t="s">
        <v>64</v>
      </c>
      <c r="F286" t="s">
        <v>23</v>
      </c>
      <c r="G286" t="s">
        <v>24</v>
      </c>
      <c r="H286" t="s">
        <v>25</v>
      </c>
      <c r="I286" t="s">
        <v>17</v>
      </c>
      <c r="J286" t="s">
        <v>21</v>
      </c>
    </row>
    <row r="287" spans="1:15">
      <c r="A287" t="s">
        <v>77</v>
      </c>
      <c r="B287">
        <f t="shared" si="18"/>
        <v>0.15128593040847199</v>
      </c>
      <c r="C287">
        <f t="shared" si="19"/>
        <v>9.4553706505294995E-3</v>
      </c>
      <c r="D287">
        <v>0.5</v>
      </c>
      <c r="E287" t="s">
        <v>64</v>
      </c>
      <c r="F287" t="s">
        <v>17</v>
      </c>
      <c r="G287" t="s">
        <v>22</v>
      </c>
      <c r="H287" t="s">
        <v>19</v>
      </c>
      <c r="I287" t="s">
        <v>20</v>
      </c>
      <c r="J287" t="s">
        <v>18</v>
      </c>
    </row>
    <row r="288" spans="1:15">
      <c r="A288" t="s">
        <v>77</v>
      </c>
      <c r="B288">
        <f t="shared" si="18"/>
        <v>0.15128593040847199</v>
      </c>
      <c r="C288">
        <f t="shared" si="19"/>
        <v>9.4553706505294995E-3</v>
      </c>
      <c r="D288">
        <v>0.4</v>
      </c>
      <c r="E288" t="s">
        <v>64</v>
      </c>
      <c r="F288" t="s">
        <v>24</v>
      </c>
      <c r="G288" t="s">
        <v>20</v>
      </c>
      <c r="H288" t="s">
        <v>17</v>
      </c>
      <c r="I288" t="s">
        <v>23</v>
      </c>
      <c r="J288" t="s">
        <v>18</v>
      </c>
    </row>
    <row r="289" spans="1:15">
      <c r="A289" t="s">
        <v>77</v>
      </c>
      <c r="B289">
        <f t="shared" si="18"/>
        <v>0.15128593040847199</v>
      </c>
      <c r="C289">
        <f t="shared" si="19"/>
        <v>9.4553706505294995E-3</v>
      </c>
      <c r="D289">
        <v>0.3</v>
      </c>
      <c r="E289" t="s">
        <v>64</v>
      </c>
      <c r="F289" t="s">
        <v>22</v>
      </c>
      <c r="G289" t="s">
        <v>21</v>
      </c>
      <c r="H289" t="s">
        <v>18</v>
      </c>
      <c r="I289" t="s">
        <v>20</v>
      </c>
      <c r="J289" t="s">
        <v>17</v>
      </c>
    </row>
    <row r="290" spans="1:15">
      <c r="A290" t="s">
        <v>77</v>
      </c>
      <c r="B290">
        <f t="shared" si="18"/>
        <v>0.15128593040847199</v>
      </c>
      <c r="C290">
        <f t="shared" si="19"/>
        <v>9.4553706505294995E-3</v>
      </c>
      <c r="D290">
        <v>0.2</v>
      </c>
      <c r="E290" t="s">
        <v>64</v>
      </c>
      <c r="F290" t="s">
        <v>18</v>
      </c>
      <c r="G290" t="s">
        <v>19</v>
      </c>
      <c r="H290" t="s">
        <v>17</v>
      </c>
      <c r="I290" t="s">
        <v>21</v>
      </c>
      <c r="J290" t="s">
        <v>20</v>
      </c>
    </row>
    <row r="291" spans="1:15">
      <c r="A291" t="s">
        <v>77</v>
      </c>
      <c r="B291">
        <f t="shared" si="18"/>
        <v>0.15128593040847199</v>
      </c>
      <c r="C291">
        <f t="shared" si="19"/>
        <v>9.4553706505294995E-3</v>
      </c>
      <c r="D291">
        <v>9.9999999999999895E-2</v>
      </c>
      <c r="E291" t="s">
        <v>64</v>
      </c>
      <c r="F291" t="s">
        <v>24</v>
      </c>
      <c r="G291" t="s">
        <v>17</v>
      </c>
      <c r="H291" t="s">
        <v>19</v>
      </c>
      <c r="I291" t="s">
        <v>23</v>
      </c>
      <c r="J291" t="s">
        <v>20</v>
      </c>
    </row>
    <row r="292" spans="1:15">
      <c r="A292" t="s">
        <v>77</v>
      </c>
      <c r="B292">
        <f t="shared" si="18"/>
        <v>0.15128593040847199</v>
      </c>
      <c r="C292">
        <f t="shared" si="19"/>
        <v>9.4553706505294995E-3</v>
      </c>
      <c r="D292">
        <v>0</v>
      </c>
      <c r="E292" t="s">
        <v>64</v>
      </c>
      <c r="F292" t="s">
        <v>18</v>
      </c>
      <c r="G292" t="s">
        <v>25</v>
      </c>
      <c r="H292" t="s">
        <v>23</v>
      </c>
      <c r="I292" t="s">
        <v>22</v>
      </c>
      <c r="J292" t="s">
        <v>21</v>
      </c>
    </row>
    <row r="293" spans="1:15">
      <c r="A293" t="s">
        <v>77</v>
      </c>
      <c r="B293">
        <f t="shared" si="18"/>
        <v>0.15128593040847199</v>
      </c>
      <c r="C293">
        <f t="shared" si="19"/>
        <v>9.4553706505294995E-3</v>
      </c>
      <c r="D293">
        <v>-0.1</v>
      </c>
      <c r="E293" t="s">
        <v>64</v>
      </c>
      <c r="F293" t="s">
        <v>23</v>
      </c>
      <c r="G293" t="s">
        <v>21</v>
      </c>
      <c r="H293" t="s">
        <v>20</v>
      </c>
      <c r="I293" t="s">
        <v>22</v>
      </c>
      <c r="J293" t="s">
        <v>19</v>
      </c>
    </row>
    <row r="294" spans="1:15">
      <c r="A294" t="s">
        <v>77</v>
      </c>
      <c r="B294">
        <f t="shared" si="18"/>
        <v>0.15128593040847199</v>
      </c>
      <c r="C294">
        <f t="shared" si="19"/>
        <v>9.4553706505294995E-3</v>
      </c>
      <c r="D294">
        <v>-0.2</v>
      </c>
      <c r="E294" t="s">
        <v>64</v>
      </c>
      <c r="F294" t="s">
        <v>18</v>
      </c>
      <c r="G294" t="s">
        <v>17</v>
      </c>
      <c r="H294" t="s">
        <v>26</v>
      </c>
      <c r="I294" t="s">
        <v>25</v>
      </c>
      <c r="J294" t="s">
        <v>24</v>
      </c>
    </row>
    <row r="295" spans="1:15">
      <c r="A295" t="s">
        <v>77</v>
      </c>
      <c r="B295">
        <f t="shared" si="18"/>
        <v>0.15128593040847199</v>
      </c>
      <c r="C295">
        <f t="shared" si="19"/>
        <v>9.4553706505294995E-3</v>
      </c>
      <c r="D295">
        <v>-0.3</v>
      </c>
      <c r="E295" t="s">
        <v>64</v>
      </c>
      <c r="F295" t="s">
        <v>22</v>
      </c>
      <c r="G295" t="s">
        <v>19</v>
      </c>
      <c r="H295" t="s">
        <v>17</v>
      </c>
      <c r="I295" t="s">
        <v>26</v>
      </c>
      <c r="J295" t="s">
        <v>20</v>
      </c>
    </row>
    <row r="296" spans="1:15">
      <c r="A296" t="s">
        <v>78</v>
      </c>
      <c r="B296">
        <f>1/10.68</f>
        <v>9.3632958801498134E-2</v>
      </c>
      <c r="C296">
        <f>1/16/10.68</f>
        <v>5.8520599250936334E-3</v>
      </c>
      <c r="D296">
        <v>1.7</v>
      </c>
      <c r="E296" t="s">
        <v>64</v>
      </c>
      <c r="F296" t="s">
        <v>26</v>
      </c>
      <c r="G296" t="s">
        <v>22</v>
      </c>
      <c r="H296" t="s">
        <v>21</v>
      </c>
      <c r="I296" t="s">
        <v>20</v>
      </c>
      <c r="J296" t="s">
        <v>19</v>
      </c>
      <c r="L296" t="s">
        <v>22</v>
      </c>
      <c r="M296" t="s">
        <v>21</v>
      </c>
      <c r="N296" t="s">
        <v>20</v>
      </c>
      <c r="O296" t="s">
        <v>19</v>
      </c>
    </row>
    <row r="297" spans="1:15">
      <c r="A297" t="s">
        <v>78</v>
      </c>
      <c r="B297">
        <f t="shared" ref="B297:B316" si="20">1/10.68</f>
        <v>9.3632958801498134E-2</v>
      </c>
      <c r="C297">
        <f t="shared" ref="C297:C316" si="21">1/16/10.68</f>
        <v>5.8520599250936334E-3</v>
      </c>
      <c r="D297">
        <v>1.6</v>
      </c>
      <c r="E297" t="s">
        <v>64</v>
      </c>
      <c r="F297" t="s">
        <v>17</v>
      </c>
      <c r="G297" t="s">
        <v>26</v>
      </c>
      <c r="H297" t="s">
        <v>21</v>
      </c>
      <c r="I297" t="s">
        <v>25</v>
      </c>
      <c r="J297" t="s">
        <v>19</v>
      </c>
    </row>
    <row r="298" spans="1:15">
      <c r="A298" t="s">
        <v>78</v>
      </c>
      <c r="B298">
        <f t="shared" si="20"/>
        <v>9.3632958801498134E-2</v>
      </c>
      <c r="C298">
        <f t="shared" si="21"/>
        <v>5.8520599250936334E-3</v>
      </c>
      <c r="D298">
        <v>1.5</v>
      </c>
      <c r="E298" t="s">
        <v>64</v>
      </c>
      <c r="F298" t="s">
        <v>22</v>
      </c>
      <c r="G298" t="s">
        <v>19</v>
      </c>
      <c r="H298" t="s">
        <v>20</v>
      </c>
      <c r="I298" t="s">
        <v>18</v>
      </c>
      <c r="J298" t="s">
        <v>21</v>
      </c>
    </row>
    <row r="299" spans="1:15">
      <c r="A299" t="s">
        <v>78</v>
      </c>
      <c r="B299">
        <f t="shared" si="20"/>
        <v>9.3632958801498134E-2</v>
      </c>
      <c r="C299">
        <f t="shared" si="21"/>
        <v>5.8520599250936334E-3</v>
      </c>
      <c r="D299">
        <v>1.4</v>
      </c>
      <c r="E299" t="s">
        <v>64</v>
      </c>
      <c r="F299" t="s">
        <v>22</v>
      </c>
      <c r="G299" t="s">
        <v>26</v>
      </c>
      <c r="H299" t="s">
        <v>19</v>
      </c>
      <c r="I299" t="s">
        <v>25</v>
      </c>
      <c r="J299" t="s">
        <v>20</v>
      </c>
    </row>
    <row r="300" spans="1:15">
      <c r="A300" t="s">
        <v>78</v>
      </c>
      <c r="B300">
        <f t="shared" si="20"/>
        <v>9.3632958801498134E-2</v>
      </c>
      <c r="C300">
        <f t="shared" si="21"/>
        <v>5.8520599250936334E-3</v>
      </c>
      <c r="D300">
        <v>1.3</v>
      </c>
      <c r="E300" t="s">
        <v>64</v>
      </c>
      <c r="F300" t="s">
        <v>26</v>
      </c>
      <c r="G300" t="s">
        <v>22</v>
      </c>
      <c r="H300" t="s">
        <v>23</v>
      </c>
      <c r="I300" t="s">
        <v>21</v>
      </c>
      <c r="J300" t="s">
        <v>17</v>
      </c>
    </row>
    <row r="301" spans="1:15">
      <c r="A301" t="s">
        <v>78</v>
      </c>
      <c r="B301">
        <f t="shared" si="20"/>
        <v>9.3632958801498134E-2</v>
      </c>
      <c r="C301">
        <f t="shared" si="21"/>
        <v>5.8520599250936334E-3</v>
      </c>
      <c r="D301">
        <v>1.2</v>
      </c>
      <c r="E301" t="s">
        <v>64</v>
      </c>
      <c r="F301" t="s">
        <v>26</v>
      </c>
      <c r="G301" t="s">
        <v>24</v>
      </c>
      <c r="H301" t="s">
        <v>18</v>
      </c>
      <c r="I301" t="s">
        <v>23</v>
      </c>
      <c r="J301" t="s">
        <v>25</v>
      </c>
    </row>
    <row r="302" spans="1:15">
      <c r="A302" t="s">
        <v>78</v>
      </c>
      <c r="B302">
        <f t="shared" si="20"/>
        <v>9.3632958801498134E-2</v>
      </c>
      <c r="C302">
        <f t="shared" si="21"/>
        <v>5.8520599250936334E-3</v>
      </c>
      <c r="D302">
        <v>1.1000000000000001</v>
      </c>
      <c r="E302" t="s">
        <v>64</v>
      </c>
      <c r="F302" t="s">
        <v>24</v>
      </c>
      <c r="G302" t="s">
        <v>17</v>
      </c>
      <c r="H302" t="s">
        <v>23</v>
      </c>
      <c r="I302" t="s">
        <v>19</v>
      </c>
      <c r="J302" t="s">
        <v>18</v>
      </c>
    </row>
    <row r="303" spans="1:15">
      <c r="A303" t="s">
        <v>78</v>
      </c>
      <c r="B303">
        <f t="shared" si="20"/>
        <v>9.3632958801498134E-2</v>
      </c>
      <c r="C303">
        <f t="shared" si="21"/>
        <v>5.8520599250936334E-3</v>
      </c>
      <c r="D303">
        <v>1</v>
      </c>
      <c r="E303" t="s">
        <v>64</v>
      </c>
      <c r="F303" t="s">
        <v>22</v>
      </c>
      <c r="G303" t="s">
        <v>23</v>
      </c>
      <c r="H303" t="s">
        <v>17</v>
      </c>
      <c r="I303" t="s">
        <v>24</v>
      </c>
      <c r="J303" t="s">
        <v>19</v>
      </c>
    </row>
    <row r="304" spans="1:15">
      <c r="A304" t="s">
        <v>78</v>
      </c>
      <c r="B304">
        <f t="shared" si="20"/>
        <v>9.3632958801498134E-2</v>
      </c>
      <c r="C304">
        <f t="shared" si="21"/>
        <v>5.8520599250936334E-3</v>
      </c>
      <c r="D304">
        <v>0.90000000000000102</v>
      </c>
      <c r="E304" t="s">
        <v>64</v>
      </c>
      <c r="F304" t="s">
        <v>25</v>
      </c>
      <c r="G304" t="s">
        <v>17</v>
      </c>
      <c r="H304" t="s">
        <v>21</v>
      </c>
      <c r="I304" t="s">
        <v>18</v>
      </c>
      <c r="J304" t="s">
        <v>24</v>
      </c>
    </row>
    <row r="305" spans="1:10">
      <c r="A305" t="s">
        <v>78</v>
      </c>
      <c r="B305">
        <f t="shared" si="20"/>
        <v>9.3632958801498134E-2</v>
      </c>
      <c r="C305">
        <f t="shared" si="21"/>
        <v>5.8520599250936334E-3</v>
      </c>
      <c r="D305">
        <v>0.80000000000000104</v>
      </c>
      <c r="E305" t="s">
        <v>64</v>
      </c>
      <c r="F305" t="s">
        <v>24</v>
      </c>
      <c r="G305" t="s">
        <v>20</v>
      </c>
      <c r="H305" t="s">
        <v>23</v>
      </c>
      <c r="I305" t="s">
        <v>25</v>
      </c>
      <c r="J305" t="s">
        <v>26</v>
      </c>
    </row>
    <row r="306" spans="1:10">
      <c r="A306" t="s">
        <v>78</v>
      </c>
      <c r="B306">
        <f t="shared" si="20"/>
        <v>9.3632958801498134E-2</v>
      </c>
      <c r="C306">
        <f t="shared" si="21"/>
        <v>5.8520599250936334E-3</v>
      </c>
      <c r="D306">
        <v>0.70000000000000095</v>
      </c>
      <c r="E306" t="s">
        <v>64</v>
      </c>
      <c r="F306" t="s">
        <v>22</v>
      </c>
      <c r="G306" t="s">
        <v>20</v>
      </c>
      <c r="H306" t="s">
        <v>24</v>
      </c>
      <c r="I306" t="s">
        <v>23</v>
      </c>
      <c r="J306" t="s">
        <v>18</v>
      </c>
    </row>
    <row r="307" spans="1:10">
      <c r="A307" t="s">
        <v>78</v>
      </c>
      <c r="B307">
        <f t="shared" si="20"/>
        <v>9.3632958801498134E-2</v>
      </c>
      <c r="C307">
        <f t="shared" si="21"/>
        <v>5.8520599250936334E-3</v>
      </c>
      <c r="D307">
        <v>0.6</v>
      </c>
      <c r="E307" t="s">
        <v>64</v>
      </c>
      <c r="F307" t="s">
        <v>22</v>
      </c>
      <c r="G307" t="s">
        <v>24</v>
      </c>
      <c r="H307" t="s">
        <v>23</v>
      </c>
      <c r="I307" t="s">
        <v>17</v>
      </c>
      <c r="J307" t="s">
        <v>18</v>
      </c>
    </row>
    <row r="308" spans="1:10">
      <c r="A308" t="s">
        <v>78</v>
      </c>
      <c r="B308">
        <f t="shared" si="20"/>
        <v>9.3632958801498134E-2</v>
      </c>
      <c r="C308">
        <f t="shared" si="21"/>
        <v>5.8520599250936334E-3</v>
      </c>
      <c r="D308">
        <v>0.5</v>
      </c>
      <c r="E308" t="s">
        <v>64</v>
      </c>
      <c r="F308" t="s">
        <v>25</v>
      </c>
      <c r="G308" t="s">
        <v>24</v>
      </c>
      <c r="H308" t="s">
        <v>17</v>
      </c>
      <c r="I308" t="s">
        <v>20</v>
      </c>
      <c r="J308" t="s">
        <v>19</v>
      </c>
    </row>
    <row r="309" spans="1:10">
      <c r="A309" t="s">
        <v>78</v>
      </c>
      <c r="B309">
        <f t="shared" si="20"/>
        <v>9.3632958801498134E-2</v>
      </c>
      <c r="C309">
        <f t="shared" si="21"/>
        <v>5.8520599250936334E-3</v>
      </c>
      <c r="D309">
        <v>0.4</v>
      </c>
      <c r="E309" t="s">
        <v>64</v>
      </c>
      <c r="F309" t="s">
        <v>21</v>
      </c>
      <c r="G309" t="s">
        <v>25</v>
      </c>
      <c r="H309" t="s">
        <v>19</v>
      </c>
      <c r="I309" t="s">
        <v>22</v>
      </c>
      <c r="J309" t="s">
        <v>17</v>
      </c>
    </row>
    <row r="310" spans="1:10">
      <c r="A310" t="s">
        <v>78</v>
      </c>
      <c r="B310">
        <f t="shared" si="20"/>
        <v>9.3632958801498134E-2</v>
      </c>
      <c r="C310">
        <f t="shared" si="21"/>
        <v>5.8520599250936334E-3</v>
      </c>
      <c r="D310">
        <v>0.3</v>
      </c>
      <c r="E310" t="s">
        <v>64</v>
      </c>
      <c r="F310" t="s">
        <v>23</v>
      </c>
      <c r="G310" t="s">
        <v>24</v>
      </c>
      <c r="H310" t="s">
        <v>21</v>
      </c>
      <c r="I310" t="s">
        <v>17</v>
      </c>
      <c r="J310" t="s">
        <v>19</v>
      </c>
    </row>
    <row r="311" spans="1:10">
      <c r="A311" t="s">
        <v>78</v>
      </c>
      <c r="B311">
        <f t="shared" si="20"/>
        <v>9.3632958801498134E-2</v>
      </c>
      <c r="C311">
        <f t="shared" si="21"/>
        <v>5.8520599250936334E-3</v>
      </c>
      <c r="D311">
        <v>0.2</v>
      </c>
      <c r="E311" t="s">
        <v>64</v>
      </c>
      <c r="F311" t="s">
        <v>17</v>
      </c>
      <c r="G311" t="s">
        <v>18</v>
      </c>
      <c r="H311" t="s">
        <v>19</v>
      </c>
      <c r="I311" t="s">
        <v>22</v>
      </c>
      <c r="J311" t="s">
        <v>25</v>
      </c>
    </row>
    <row r="312" spans="1:10">
      <c r="A312" t="s">
        <v>78</v>
      </c>
      <c r="B312">
        <f t="shared" si="20"/>
        <v>9.3632958801498134E-2</v>
      </c>
      <c r="C312">
        <f t="shared" si="21"/>
        <v>5.8520599250936334E-3</v>
      </c>
      <c r="D312">
        <v>9.9999999999999895E-2</v>
      </c>
      <c r="E312" t="s">
        <v>64</v>
      </c>
      <c r="F312" t="s">
        <v>19</v>
      </c>
      <c r="G312" t="s">
        <v>23</v>
      </c>
      <c r="H312" t="s">
        <v>25</v>
      </c>
      <c r="I312" t="s">
        <v>17</v>
      </c>
      <c r="J312" t="s">
        <v>18</v>
      </c>
    </row>
    <row r="313" spans="1:10">
      <c r="A313" t="s">
        <v>78</v>
      </c>
      <c r="B313">
        <f t="shared" si="20"/>
        <v>9.3632958801498134E-2</v>
      </c>
      <c r="C313">
        <f t="shared" si="21"/>
        <v>5.8520599250936334E-3</v>
      </c>
      <c r="D313">
        <v>0</v>
      </c>
      <c r="E313" t="s">
        <v>64</v>
      </c>
      <c r="F313" t="s">
        <v>20</v>
      </c>
      <c r="G313" t="s">
        <v>25</v>
      </c>
      <c r="H313" t="s">
        <v>17</v>
      </c>
      <c r="I313" t="s">
        <v>22</v>
      </c>
      <c r="J313" t="s">
        <v>19</v>
      </c>
    </row>
    <row r="314" spans="1:10">
      <c r="A314" t="s">
        <v>78</v>
      </c>
      <c r="B314">
        <f t="shared" si="20"/>
        <v>9.3632958801498134E-2</v>
      </c>
      <c r="C314">
        <f t="shared" si="21"/>
        <v>5.8520599250936334E-3</v>
      </c>
      <c r="D314">
        <v>-0.1</v>
      </c>
      <c r="E314" t="s">
        <v>64</v>
      </c>
      <c r="F314" t="s">
        <v>25</v>
      </c>
      <c r="G314" t="s">
        <v>23</v>
      </c>
      <c r="H314" t="s">
        <v>26</v>
      </c>
      <c r="I314" t="s">
        <v>22</v>
      </c>
      <c r="J314" t="s">
        <v>18</v>
      </c>
    </row>
    <row r="315" spans="1:10">
      <c r="A315" t="s">
        <v>78</v>
      </c>
      <c r="B315">
        <f t="shared" si="20"/>
        <v>9.3632958801498134E-2</v>
      </c>
      <c r="C315">
        <f t="shared" si="21"/>
        <v>5.8520599250936334E-3</v>
      </c>
      <c r="D315">
        <v>-0.2</v>
      </c>
      <c r="E315" t="s">
        <v>64</v>
      </c>
      <c r="F315" t="s">
        <v>17</v>
      </c>
      <c r="G315" t="s">
        <v>21</v>
      </c>
      <c r="H315" t="s">
        <v>22</v>
      </c>
      <c r="I315" t="s">
        <v>18</v>
      </c>
      <c r="J315" t="s">
        <v>24</v>
      </c>
    </row>
    <row r="316" spans="1:10">
      <c r="A316" t="s">
        <v>78</v>
      </c>
      <c r="B316">
        <f t="shared" si="20"/>
        <v>9.3632958801498134E-2</v>
      </c>
      <c r="C316">
        <f t="shared" si="21"/>
        <v>5.8520599250936334E-3</v>
      </c>
      <c r="D316">
        <v>-0.3</v>
      </c>
      <c r="E316" t="s">
        <v>64</v>
      </c>
      <c r="F316" t="s">
        <v>20</v>
      </c>
      <c r="G316" t="s">
        <v>17</v>
      </c>
      <c r="H316" t="s">
        <v>19</v>
      </c>
      <c r="I316" t="s">
        <v>24</v>
      </c>
      <c r="J316" t="s">
        <v>25</v>
      </c>
    </row>
    <row r="317" spans="1:10">
      <c r="A317" t="s">
        <v>79</v>
      </c>
      <c r="B317">
        <f>1/16.62</f>
        <v>6.0168471720818288E-2</v>
      </c>
      <c r="C317">
        <f>1/16/16.62</f>
        <v>3.760529482551143E-3</v>
      </c>
      <c r="D317">
        <v>1.7</v>
      </c>
      <c r="E317" t="s">
        <v>64</v>
      </c>
      <c r="F317" t="s">
        <v>19</v>
      </c>
      <c r="G317" t="s">
        <v>24</v>
      </c>
      <c r="H317" t="s">
        <v>21</v>
      </c>
      <c r="I317" t="s">
        <v>22</v>
      </c>
      <c r="J317" t="s">
        <v>18</v>
      </c>
    </row>
    <row r="318" spans="1:10">
      <c r="A318" t="s">
        <v>79</v>
      </c>
      <c r="B318">
        <f t="shared" ref="B318:B337" si="22">1/16.62</f>
        <v>6.0168471720818288E-2</v>
      </c>
      <c r="C318">
        <f t="shared" ref="C318:C337" si="23">1/16/16.62</f>
        <v>3.760529482551143E-3</v>
      </c>
      <c r="D318">
        <v>1.6</v>
      </c>
      <c r="E318" t="s">
        <v>64</v>
      </c>
      <c r="F318" t="s">
        <v>21</v>
      </c>
      <c r="G318" t="s">
        <v>20</v>
      </c>
      <c r="H318" t="s">
        <v>22</v>
      </c>
      <c r="I318" t="s">
        <v>17</v>
      </c>
      <c r="J318" t="s">
        <v>18</v>
      </c>
    </row>
    <row r="319" spans="1:10">
      <c r="A319" t="s">
        <v>79</v>
      </c>
      <c r="B319">
        <f t="shared" si="22"/>
        <v>6.0168471720818288E-2</v>
      </c>
      <c r="C319">
        <f t="shared" si="23"/>
        <v>3.760529482551143E-3</v>
      </c>
      <c r="D319">
        <v>1.5</v>
      </c>
      <c r="E319" t="s">
        <v>64</v>
      </c>
      <c r="F319" t="s">
        <v>23</v>
      </c>
      <c r="G319" t="s">
        <v>24</v>
      </c>
      <c r="H319" t="s">
        <v>18</v>
      </c>
      <c r="I319" t="s">
        <v>21</v>
      </c>
      <c r="J319" t="s">
        <v>19</v>
      </c>
    </row>
    <row r="320" spans="1:10">
      <c r="A320" t="s">
        <v>79</v>
      </c>
      <c r="B320">
        <f t="shared" si="22"/>
        <v>6.0168471720818288E-2</v>
      </c>
      <c r="C320">
        <f t="shared" si="23"/>
        <v>3.760529482551143E-3</v>
      </c>
      <c r="D320">
        <v>1.4</v>
      </c>
      <c r="E320" t="s">
        <v>64</v>
      </c>
      <c r="F320" t="s">
        <v>25</v>
      </c>
      <c r="G320" t="s">
        <v>20</v>
      </c>
      <c r="H320" t="s">
        <v>26</v>
      </c>
      <c r="I320" t="s">
        <v>19</v>
      </c>
      <c r="J320" t="s">
        <v>18</v>
      </c>
    </row>
    <row r="321" spans="1:10">
      <c r="A321" t="s">
        <v>79</v>
      </c>
      <c r="B321">
        <f t="shared" si="22"/>
        <v>6.0168471720818288E-2</v>
      </c>
      <c r="C321">
        <f t="shared" si="23"/>
        <v>3.760529482551143E-3</v>
      </c>
      <c r="D321">
        <v>1.3</v>
      </c>
      <c r="E321" t="s">
        <v>64</v>
      </c>
      <c r="F321" t="s">
        <v>25</v>
      </c>
      <c r="G321" t="s">
        <v>19</v>
      </c>
      <c r="H321" t="s">
        <v>24</v>
      </c>
      <c r="I321" t="s">
        <v>26</v>
      </c>
      <c r="J321" t="s">
        <v>20</v>
      </c>
    </row>
    <row r="322" spans="1:10">
      <c r="A322" t="s">
        <v>79</v>
      </c>
      <c r="B322">
        <f t="shared" si="22"/>
        <v>6.0168471720818288E-2</v>
      </c>
      <c r="C322">
        <f t="shared" si="23"/>
        <v>3.760529482551143E-3</v>
      </c>
      <c r="D322">
        <v>1.2</v>
      </c>
      <c r="E322" t="s">
        <v>64</v>
      </c>
      <c r="F322" t="s">
        <v>23</v>
      </c>
      <c r="G322" t="s">
        <v>20</v>
      </c>
      <c r="H322" t="s">
        <v>17</v>
      </c>
      <c r="I322" t="s">
        <v>21</v>
      </c>
      <c r="J322" t="s">
        <v>19</v>
      </c>
    </row>
    <row r="323" spans="1:10">
      <c r="A323" t="s">
        <v>79</v>
      </c>
      <c r="B323">
        <f t="shared" si="22"/>
        <v>6.0168471720818288E-2</v>
      </c>
      <c r="C323">
        <f t="shared" si="23"/>
        <v>3.760529482551143E-3</v>
      </c>
      <c r="D323">
        <v>1.1000000000000001</v>
      </c>
      <c r="E323" t="s">
        <v>64</v>
      </c>
      <c r="F323" t="s">
        <v>25</v>
      </c>
      <c r="G323" t="s">
        <v>23</v>
      </c>
      <c r="H323" t="s">
        <v>17</v>
      </c>
      <c r="I323" t="s">
        <v>20</v>
      </c>
      <c r="J323" t="s">
        <v>18</v>
      </c>
    </row>
    <row r="324" spans="1:10">
      <c r="A324" t="s">
        <v>79</v>
      </c>
      <c r="B324">
        <f t="shared" si="22"/>
        <v>6.0168471720818288E-2</v>
      </c>
      <c r="C324">
        <f t="shared" si="23"/>
        <v>3.760529482551143E-3</v>
      </c>
      <c r="D324">
        <v>1</v>
      </c>
      <c r="E324" t="s">
        <v>64</v>
      </c>
      <c r="F324" t="s">
        <v>21</v>
      </c>
      <c r="G324" t="s">
        <v>18</v>
      </c>
      <c r="H324" t="s">
        <v>19</v>
      </c>
      <c r="I324" t="s">
        <v>20</v>
      </c>
      <c r="J324" t="s">
        <v>17</v>
      </c>
    </row>
    <row r="325" spans="1:10">
      <c r="A325" t="s">
        <v>79</v>
      </c>
      <c r="B325">
        <f t="shared" si="22"/>
        <v>6.0168471720818288E-2</v>
      </c>
      <c r="C325">
        <f t="shared" si="23"/>
        <v>3.760529482551143E-3</v>
      </c>
      <c r="D325">
        <v>0.90000000000000102</v>
      </c>
      <c r="E325" t="s">
        <v>64</v>
      </c>
      <c r="F325" t="s">
        <v>22</v>
      </c>
      <c r="G325" t="s">
        <v>23</v>
      </c>
      <c r="H325" t="s">
        <v>24</v>
      </c>
      <c r="I325" t="s">
        <v>25</v>
      </c>
      <c r="J325" t="s">
        <v>17</v>
      </c>
    </row>
    <row r="326" spans="1:10">
      <c r="A326" t="s">
        <v>79</v>
      </c>
      <c r="B326">
        <f t="shared" si="22"/>
        <v>6.0168471720818288E-2</v>
      </c>
      <c r="C326">
        <f t="shared" si="23"/>
        <v>3.760529482551143E-3</v>
      </c>
      <c r="D326">
        <v>0.80000000000000104</v>
      </c>
      <c r="E326" t="s">
        <v>64</v>
      </c>
      <c r="F326" t="s">
        <v>25</v>
      </c>
      <c r="G326" t="s">
        <v>19</v>
      </c>
      <c r="H326" t="s">
        <v>17</v>
      </c>
      <c r="I326" t="s">
        <v>21</v>
      </c>
      <c r="J326" t="s">
        <v>26</v>
      </c>
    </row>
    <row r="327" spans="1:10">
      <c r="A327" t="s">
        <v>79</v>
      </c>
      <c r="B327">
        <f t="shared" si="22"/>
        <v>6.0168471720818288E-2</v>
      </c>
      <c r="C327">
        <f t="shared" si="23"/>
        <v>3.760529482551143E-3</v>
      </c>
      <c r="D327">
        <v>0.70000000000000095</v>
      </c>
      <c r="E327" t="s">
        <v>64</v>
      </c>
      <c r="F327" t="s">
        <v>18</v>
      </c>
      <c r="G327" t="s">
        <v>25</v>
      </c>
      <c r="H327" t="s">
        <v>24</v>
      </c>
      <c r="I327" t="s">
        <v>23</v>
      </c>
      <c r="J327" t="s">
        <v>20</v>
      </c>
    </row>
    <row r="328" spans="1:10">
      <c r="A328" t="s">
        <v>79</v>
      </c>
      <c r="B328">
        <f t="shared" si="22"/>
        <v>6.0168471720818288E-2</v>
      </c>
      <c r="C328">
        <f t="shared" si="23"/>
        <v>3.760529482551143E-3</v>
      </c>
      <c r="D328">
        <v>0.6</v>
      </c>
      <c r="E328" t="s">
        <v>64</v>
      </c>
      <c r="F328" t="s">
        <v>19</v>
      </c>
      <c r="G328" t="s">
        <v>17</v>
      </c>
      <c r="H328" t="s">
        <v>21</v>
      </c>
      <c r="I328" t="s">
        <v>26</v>
      </c>
      <c r="J328" t="s">
        <v>25</v>
      </c>
    </row>
    <row r="329" spans="1:10">
      <c r="A329" t="s">
        <v>79</v>
      </c>
      <c r="B329">
        <f t="shared" si="22"/>
        <v>6.0168471720818288E-2</v>
      </c>
      <c r="C329">
        <f t="shared" si="23"/>
        <v>3.760529482551143E-3</v>
      </c>
      <c r="D329">
        <v>0.5</v>
      </c>
      <c r="E329" t="s">
        <v>64</v>
      </c>
      <c r="F329" t="s">
        <v>24</v>
      </c>
      <c r="G329" t="s">
        <v>19</v>
      </c>
      <c r="H329" t="s">
        <v>25</v>
      </c>
      <c r="I329" t="s">
        <v>23</v>
      </c>
      <c r="J329" t="s">
        <v>17</v>
      </c>
    </row>
    <row r="330" spans="1:10">
      <c r="A330" t="s">
        <v>79</v>
      </c>
      <c r="B330">
        <f t="shared" si="22"/>
        <v>6.0168471720818288E-2</v>
      </c>
      <c r="C330">
        <f t="shared" si="23"/>
        <v>3.760529482551143E-3</v>
      </c>
      <c r="D330">
        <v>0.4</v>
      </c>
      <c r="E330" t="s">
        <v>64</v>
      </c>
      <c r="F330" t="s">
        <v>22</v>
      </c>
      <c r="G330" t="s">
        <v>17</v>
      </c>
      <c r="H330" t="s">
        <v>21</v>
      </c>
      <c r="I330" t="s">
        <v>26</v>
      </c>
      <c r="J330" t="s">
        <v>18</v>
      </c>
    </row>
    <row r="331" spans="1:10">
      <c r="A331" t="s">
        <v>79</v>
      </c>
      <c r="B331">
        <f t="shared" si="22"/>
        <v>6.0168471720818288E-2</v>
      </c>
      <c r="C331">
        <f t="shared" si="23"/>
        <v>3.760529482551143E-3</v>
      </c>
      <c r="D331">
        <v>0.3</v>
      </c>
      <c r="E331" t="s">
        <v>64</v>
      </c>
      <c r="F331" t="s">
        <v>18</v>
      </c>
      <c r="G331" t="s">
        <v>21</v>
      </c>
      <c r="H331" t="s">
        <v>25</v>
      </c>
      <c r="I331" t="s">
        <v>20</v>
      </c>
      <c r="J331" t="s">
        <v>26</v>
      </c>
    </row>
    <row r="332" spans="1:10">
      <c r="A332" t="s">
        <v>79</v>
      </c>
      <c r="B332">
        <f t="shared" si="22"/>
        <v>6.0168471720818288E-2</v>
      </c>
      <c r="C332">
        <f t="shared" si="23"/>
        <v>3.760529482551143E-3</v>
      </c>
      <c r="D332">
        <v>0.2</v>
      </c>
      <c r="E332" t="s">
        <v>64</v>
      </c>
      <c r="F332" t="s">
        <v>25</v>
      </c>
      <c r="G332" t="s">
        <v>18</v>
      </c>
      <c r="H332" t="s">
        <v>20</v>
      </c>
      <c r="I332" t="s">
        <v>26</v>
      </c>
      <c r="J332" t="s">
        <v>17</v>
      </c>
    </row>
    <row r="333" spans="1:10">
      <c r="A333" t="s">
        <v>79</v>
      </c>
      <c r="B333">
        <f t="shared" si="22"/>
        <v>6.0168471720818288E-2</v>
      </c>
      <c r="C333">
        <f t="shared" si="23"/>
        <v>3.760529482551143E-3</v>
      </c>
      <c r="D333">
        <v>9.9999999999999895E-2</v>
      </c>
      <c r="E333" t="s">
        <v>64</v>
      </c>
      <c r="F333" t="s">
        <v>23</v>
      </c>
      <c r="G333" t="s">
        <v>25</v>
      </c>
      <c r="H333" t="s">
        <v>20</v>
      </c>
      <c r="I333" t="s">
        <v>26</v>
      </c>
      <c r="J333" t="s">
        <v>24</v>
      </c>
    </row>
    <row r="334" spans="1:10">
      <c r="A334" t="s">
        <v>79</v>
      </c>
      <c r="B334">
        <f t="shared" si="22"/>
        <v>6.0168471720818288E-2</v>
      </c>
      <c r="C334">
        <f t="shared" si="23"/>
        <v>3.760529482551143E-3</v>
      </c>
      <c r="D334">
        <v>0</v>
      </c>
      <c r="E334" t="s">
        <v>64</v>
      </c>
      <c r="F334" t="s">
        <v>19</v>
      </c>
      <c r="G334" t="s">
        <v>20</v>
      </c>
      <c r="H334" t="s">
        <v>21</v>
      </c>
      <c r="I334" t="s">
        <v>26</v>
      </c>
      <c r="J334" t="s">
        <v>24</v>
      </c>
    </row>
    <row r="335" spans="1:10">
      <c r="A335" t="s">
        <v>79</v>
      </c>
      <c r="B335">
        <f t="shared" si="22"/>
        <v>6.0168471720818288E-2</v>
      </c>
      <c r="C335">
        <f t="shared" si="23"/>
        <v>3.760529482551143E-3</v>
      </c>
      <c r="D335">
        <v>-0.1</v>
      </c>
      <c r="E335" t="s">
        <v>64</v>
      </c>
      <c r="F335" t="s">
        <v>26</v>
      </c>
      <c r="G335" t="s">
        <v>20</v>
      </c>
      <c r="H335" t="s">
        <v>25</v>
      </c>
      <c r="I335" t="s">
        <v>19</v>
      </c>
      <c r="J335" t="s">
        <v>17</v>
      </c>
    </row>
    <row r="336" spans="1:10">
      <c r="A336" t="s">
        <v>79</v>
      </c>
      <c r="B336">
        <f t="shared" si="22"/>
        <v>6.0168471720818288E-2</v>
      </c>
      <c r="C336">
        <f t="shared" si="23"/>
        <v>3.760529482551143E-3</v>
      </c>
      <c r="D336">
        <v>-0.2</v>
      </c>
      <c r="E336" t="s">
        <v>64</v>
      </c>
      <c r="F336" t="s">
        <v>24</v>
      </c>
      <c r="G336" t="s">
        <v>22</v>
      </c>
      <c r="H336" t="s">
        <v>17</v>
      </c>
      <c r="I336" t="s">
        <v>20</v>
      </c>
      <c r="J336" t="s">
        <v>23</v>
      </c>
    </row>
    <row r="337" spans="1:10">
      <c r="A337" t="s">
        <v>79</v>
      </c>
      <c r="B337">
        <f t="shared" si="22"/>
        <v>6.0168471720818288E-2</v>
      </c>
      <c r="C337">
        <f t="shared" si="23"/>
        <v>3.760529482551143E-3</v>
      </c>
      <c r="D337">
        <v>-0.3</v>
      </c>
      <c r="E337" t="s">
        <v>64</v>
      </c>
      <c r="F337" t="s">
        <v>25</v>
      </c>
      <c r="G337" t="s">
        <v>17</v>
      </c>
      <c r="H337" t="s">
        <v>24</v>
      </c>
      <c r="I337" t="s">
        <v>20</v>
      </c>
      <c r="J337" t="s">
        <v>23</v>
      </c>
    </row>
    <row r="1048262" spans="3:3">
      <c r="C1048262" s="1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013A-C71E-3947-B288-9F9A48A341B9}">
  <dimension ref="A1:O1048262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63</v>
      </c>
      <c r="B2">
        <v>1</v>
      </c>
      <c r="C2">
        <v>1</v>
      </c>
      <c r="D2">
        <v>1.7</v>
      </c>
      <c r="E2" t="s">
        <v>80</v>
      </c>
      <c r="F2" s="2" t="s">
        <v>23</v>
      </c>
      <c r="G2" t="s">
        <v>18</v>
      </c>
      <c r="H2" t="s">
        <v>17</v>
      </c>
      <c r="I2" t="s">
        <v>24</v>
      </c>
      <c r="J2" t="s">
        <v>19</v>
      </c>
      <c r="K2" s="2" t="s">
        <v>23</v>
      </c>
      <c r="L2" t="s">
        <v>18</v>
      </c>
      <c r="M2" t="s">
        <v>17</v>
      </c>
      <c r="N2" t="s">
        <v>24</v>
      </c>
      <c r="O2" t="s">
        <v>19</v>
      </c>
    </row>
    <row r="3" spans="1:15">
      <c r="A3" t="s">
        <v>63</v>
      </c>
      <c r="B3">
        <v>1</v>
      </c>
      <c r="C3">
        <v>1</v>
      </c>
      <c r="D3">
        <v>1.6</v>
      </c>
      <c r="E3" t="s">
        <v>80</v>
      </c>
      <c r="F3" s="2" t="s">
        <v>17</v>
      </c>
      <c r="G3" t="s">
        <v>26</v>
      </c>
      <c r="H3" t="s">
        <v>21</v>
      </c>
      <c r="I3" t="s">
        <v>25</v>
      </c>
      <c r="J3" t="s">
        <v>22</v>
      </c>
      <c r="K3" s="2" t="s">
        <v>17</v>
      </c>
      <c r="L3" t="s">
        <v>26</v>
      </c>
      <c r="M3" t="s">
        <v>21</v>
      </c>
      <c r="N3" t="s">
        <v>25</v>
      </c>
      <c r="O3" t="s">
        <v>22</v>
      </c>
    </row>
    <row r="4" spans="1:15">
      <c r="A4" t="s">
        <v>63</v>
      </c>
      <c r="B4">
        <v>1</v>
      </c>
      <c r="C4">
        <v>1</v>
      </c>
      <c r="D4">
        <v>1.5</v>
      </c>
      <c r="E4" t="s">
        <v>80</v>
      </c>
      <c r="F4" s="2" t="s">
        <v>19</v>
      </c>
      <c r="G4" t="s">
        <v>21</v>
      </c>
      <c r="H4" t="s">
        <v>22</v>
      </c>
      <c r="I4" t="s">
        <v>18</v>
      </c>
      <c r="J4" t="s">
        <v>25</v>
      </c>
      <c r="K4" s="2" t="s">
        <v>19</v>
      </c>
      <c r="L4" t="s">
        <v>21</v>
      </c>
      <c r="M4" t="s">
        <v>22</v>
      </c>
      <c r="N4" t="s">
        <v>18</v>
      </c>
      <c r="O4" t="s">
        <v>25</v>
      </c>
    </row>
    <row r="5" spans="1:15">
      <c r="A5" t="s">
        <v>63</v>
      </c>
      <c r="B5">
        <v>1</v>
      </c>
      <c r="C5">
        <v>1</v>
      </c>
      <c r="D5">
        <v>1.4</v>
      </c>
      <c r="E5" t="s">
        <v>80</v>
      </c>
      <c r="F5" s="2" t="s">
        <v>23</v>
      </c>
      <c r="G5" t="s">
        <v>22</v>
      </c>
      <c r="H5" t="s">
        <v>24</v>
      </c>
      <c r="I5" t="s">
        <v>17</v>
      </c>
      <c r="J5" t="s">
        <v>18</v>
      </c>
      <c r="K5" s="2" t="s">
        <v>23</v>
      </c>
      <c r="L5" t="s">
        <v>22</v>
      </c>
      <c r="M5" t="s">
        <v>24</v>
      </c>
      <c r="N5" t="s">
        <v>17</v>
      </c>
      <c r="O5" t="s">
        <v>18</v>
      </c>
    </row>
    <row r="6" spans="1:15">
      <c r="A6" t="s">
        <v>63</v>
      </c>
      <c r="B6">
        <v>1</v>
      </c>
      <c r="C6">
        <v>1</v>
      </c>
      <c r="D6">
        <v>1.3</v>
      </c>
      <c r="E6" t="s">
        <v>80</v>
      </c>
      <c r="F6" s="2" t="s">
        <v>24</v>
      </c>
      <c r="G6" t="s">
        <v>23</v>
      </c>
      <c r="H6" t="s">
        <v>20</v>
      </c>
      <c r="I6" t="s">
        <v>19</v>
      </c>
      <c r="J6" t="s">
        <v>18</v>
      </c>
      <c r="K6" s="2" t="s">
        <v>24</v>
      </c>
      <c r="L6" t="s">
        <v>23</v>
      </c>
      <c r="M6" t="s">
        <v>20</v>
      </c>
      <c r="N6" t="s">
        <v>19</v>
      </c>
      <c r="O6" t="s">
        <v>18</v>
      </c>
    </row>
    <row r="7" spans="1:15">
      <c r="A7" t="s">
        <v>63</v>
      </c>
      <c r="B7">
        <v>1</v>
      </c>
      <c r="C7">
        <v>1</v>
      </c>
      <c r="D7">
        <v>1.2</v>
      </c>
      <c r="E7" t="s">
        <v>80</v>
      </c>
      <c r="F7" s="2" t="s">
        <v>20</v>
      </c>
      <c r="G7" t="s">
        <v>26</v>
      </c>
      <c r="H7" t="s">
        <v>25</v>
      </c>
      <c r="I7" t="s">
        <v>17</v>
      </c>
      <c r="J7" t="s">
        <v>19</v>
      </c>
      <c r="K7" s="2" t="s">
        <v>20</v>
      </c>
      <c r="L7" t="s">
        <v>26</v>
      </c>
      <c r="M7" t="s">
        <v>25</v>
      </c>
      <c r="N7" t="s">
        <v>17</v>
      </c>
      <c r="O7" t="s">
        <v>19</v>
      </c>
    </row>
    <row r="8" spans="1:15">
      <c r="A8" t="s">
        <v>63</v>
      </c>
      <c r="B8">
        <v>1</v>
      </c>
      <c r="C8">
        <v>1</v>
      </c>
      <c r="D8">
        <v>1.1000000000000001</v>
      </c>
      <c r="E8" t="s">
        <v>80</v>
      </c>
      <c r="F8" s="2" t="s">
        <v>23</v>
      </c>
      <c r="G8" t="s">
        <v>22</v>
      </c>
      <c r="H8" t="s">
        <v>17</v>
      </c>
      <c r="I8" t="s">
        <v>19</v>
      </c>
      <c r="J8" t="s">
        <v>26</v>
      </c>
      <c r="K8" s="2" t="s">
        <v>23</v>
      </c>
      <c r="L8" t="s">
        <v>22</v>
      </c>
      <c r="M8" t="s">
        <v>17</v>
      </c>
      <c r="N8" t="s">
        <v>19</v>
      </c>
      <c r="O8" t="s">
        <v>26</v>
      </c>
    </row>
    <row r="9" spans="1:15">
      <c r="A9" t="s">
        <v>63</v>
      </c>
      <c r="B9">
        <v>1</v>
      </c>
      <c r="C9">
        <v>1</v>
      </c>
      <c r="D9">
        <v>1</v>
      </c>
      <c r="E9" t="s">
        <v>80</v>
      </c>
      <c r="F9" s="2" t="s">
        <v>18</v>
      </c>
      <c r="G9" t="s">
        <v>24</v>
      </c>
      <c r="H9" t="s">
        <v>25</v>
      </c>
      <c r="I9" t="s">
        <v>21</v>
      </c>
      <c r="J9" t="s">
        <v>23</v>
      </c>
      <c r="K9" s="2" t="s">
        <v>18</v>
      </c>
      <c r="L9" t="s">
        <v>24</v>
      </c>
      <c r="M9" t="s">
        <v>25</v>
      </c>
      <c r="N9" t="s">
        <v>21</v>
      </c>
      <c r="O9" t="s">
        <v>23</v>
      </c>
    </row>
    <row r="10" spans="1:15">
      <c r="A10" t="s">
        <v>63</v>
      </c>
      <c r="B10">
        <v>1</v>
      </c>
      <c r="C10">
        <v>1</v>
      </c>
      <c r="D10">
        <v>0.90000000000000102</v>
      </c>
      <c r="E10" t="s">
        <v>80</v>
      </c>
      <c r="F10" s="2" t="s">
        <v>17</v>
      </c>
      <c r="G10" t="s">
        <v>19</v>
      </c>
      <c r="H10" t="s">
        <v>26</v>
      </c>
      <c r="I10" t="s">
        <v>24</v>
      </c>
      <c r="J10" t="s">
        <v>25</v>
      </c>
      <c r="K10" s="2" t="s">
        <v>17</v>
      </c>
      <c r="L10" t="s">
        <v>19</v>
      </c>
      <c r="M10" t="s">
        <v>26</v>
      </c>
      <c r="N10" t="s">
        <v>24</v>
      </c>
      <c r="O10" t="s">
        <v>25</v>
      </c>
    </row>
    <row r="11" spans="1:15">
      <c r="A11" t="s">
        <v>63</v>
      </c>
      <c r="B11">
        <v>1</v>
      </c>
      <c r="C11">
        <v>1</v>
      </c>
      <c r="D11">
        <v>0.80000000000000104</v>
      </c>
      <c r="E11" t="s">
        <v>80</v>
      </c>
      <c r="F11" s="2" t="s">
        <v>18</v>
      </c>
      <c r="G11" t="s">
        <v>17</v>
      </c>
      <c r="H11" t="s">
        <v>26</v>
      </c>
      <c r="I11" t="s">
        <v>22</v>
      </c>
      <c r="J11" t="s">
        <v>19</v>
      </c>
      <c r="K11" s="2" t="s">
        <v>18</v>
      </c>
      <c r="L11" t="s">
        <v>17</v>
      </c>
      <c r="M11" t="s">
        <v>26</v>
      </c>
      <c r="N11" t="s">
        <v>22</v>
      </c>
      <c r="O11" t="s">
        <v>19</v>
      </c>
    </row>
    <row r="12" spans="1:15">
      <c r="A12" t="s">
        <v>63</v>
      </c>
      <c r="B12">
        <v>1</v>
      </c>
      <c r="C12">
        <v>1</v>
      </c>
      <c r="D12">
        <v>0.70000000000000095</v>
      </c>
      <c r="E12" t="s">
        <v>80</v>
      </c>
      <c r="F12" s="2" t="s">
        <v>17</v>
      </c>
      <c r="G12" t="s">
        <v>26</v>
      </c>
      <c r="H12" t="s">
        <v>24</v>
      </c>
      <c r="I12" t="s">
        <v>18</v>
      </c>
      <c r="J12" t="s">
        <v>23</v>
      </c>
      <c r="K12" s="2" t="s">
        <v>17</v>
      </c>
      <c r="L12" t="s">
        <v>26</v>
      </c>
      <c r="M12" t="s">
        <v>24</v>
      </c>
      <c r="N12" t="s">
        <v>18</v>
      </c>
      <c r="O12" t="s">
        <v>23</v>
      </c>
    </row>
    <row r="13" spans="1:15">
      <c r="A13" t="s">
        <v>63</v>
      </c>
      <c r="B13">
        <v>1</v>
      </c>
      <c r="C13">
        <v>1</v>
      </c>
      <c r="D13">
        <v>0.6</v>
      </c>
      <c r="E13" t="s">
        <v>80</v>
      </c>
      <c r="F13" s="2" t="s">
        <v>21</v>
      </c>
      <c r="G13" t="s">
        <v>26</v>
      </c>
      <c r="H13" t="s">
        <v>18</v>
      </c>
      <c r="I13" t="s">
        <v>19</v>
      </c>
      <c r="J13" t="s">
        <v>24</v>
      </c>
      <c r="K13" s="2" t="s">
        <v>21</v>
      </c>
      <c r="L13" t="s">
        <v>26</v>
      </c>
      <c r="M13" t="s">
        <v>18</v>
      </c>
      <c r="N13" t="s">
        <v>19</v>
      </c>
      <c r="O13" t="s">
        <v>24</v>
      </c>
    </row>
    <row r="14" spans="1:15">
      <c r="A14" t="s">
        <v>63</v>
      </c>
      <c r="B14">
        <v>1</v>
      </c>
      <c r="C14">
        <v>1</v>
      </c>
      <c r="D14">
        <v>0.5</v>
      </c>
      <c r="E14" t="s">
        <v>80</v>
      </c>
      <c r="F14" s="2" t="s">
        <v>17</v>
      </c>
      <c r="G14" t="s">
        <v>18</v>
      </c>
      <c r="H14" t="s">
        <v>25</v>
      </c>
      <c r="I14" t="s">
        <v>22</v>
      </c>
      <c r="J14" t="s">
        <v>19</v>
      </c>
      <c r="K14" s="2" t="s">
        <v>17</v>
      </c>
      <c r="L14" t="s">
        <v>18</v>
      </c>
      <c r="M14" t="s">
        <v>25</v>
      </c>
      <c r="N14" t="s">
        <v>22</v>
      </c>
      <c r="O14" t="s">
        <v>19</v>
      </c>
    </row>
    <row r="15" spans="1:15">
      <c r="A15" t="s">
        <v>63</v>
      </c>
      <c r="B15">
        <v>1</v>
      </c>
      <c r="C15">
        <v>1</v>
      </c>
      <c r="D15">
        <v>0.4</v>
      </c>
      <c r="E15" t="s">
        <v>80</v>
      </c>
      <c r="F15" s="2" t="s">
        <v>20</v>
      </c>
      <c r="G15" t="s">
        <v>18</v>
      </c>
      <c r="H15" t="s">
        <v>26</v>
      </c>
      <c r="I15" t="s">
        <v>22</v>
      </c>
      <c r="J15" t="s">
        <v>21</v>
      </c>
      <c r="K15" s="2" t="s">
        <v>20</v>
      </c>
      <c r="L15" t="s">
        <v>18</v>
      </c>
      <c r="M15" t="s">
        <v>26</v>
      </c>
      <c r="N15" t="s">
        <v>22</v>
      </c>
      <c r="O15" t="s">
        <v>21</v>
      </c>
    </row>
    <row r="16" spans="1:15">
      <c r="A16" t="s">
        <v>63</v>
      </c>
      <c r="B16">
        <v>1</v>
      </c>
      <c r="C16">
        <v>1</v>
      </c>
      <c r="D16">
        <v>0.3</v>
      </c>
      <c r="E16" t="s">
        <v>80</v>
      </c>
      <c r="F16" s="2" t="s">
        <v>21</v>
      </c>
      <c r="G16" t="s">
        <v>23</v>
      </c>
      <c r="H16" t="s">
        <v>25</v>
      </c>
      <c r="I16" t="s">
        <v>20</v>
      </c>
      <c r="J16" t="s">
        <v>19</v>
      </c>
      <c r="K16" s="2" t="s">
        <v>21</v>
      </c>
      <c r="L16" t="s">
        <v>23</v>
      </c>
      <c r="M16" t="s">
        <v>25</v>
      </c>
      <c r="N16" t="s">
        <v>20</v>
      </c>
      <c r="O16" t="s">
        <v>19</v>
      </c>
    </row>
    <row r="17" spans="1:15">
      <c r="A17" t="s">
        <v>63</v>
      </c>
      <c r="B17">
        <v>1</v>
      </c>
      <c r="C17">
        <v>1</v>
      </c>
      <c r="D17">
        <v>0.2</v>
      </c>
      <c r="E17" t="s">
        <v>80</v>
      </c>
      <c r="F17" s="2" t="s">
        <v>25</v>
      </c>
      <c r="G17" t="s">
        <v>19</v>
      </c>
      <c r="H17" t="s">
        <v>23</v>
      </c>
      <c r="I17" t="s">
        <v>21</v>
      </c>
      <c r="J17" t="s">
        <v>20</v>
      </c>
      <c r="K17" s="2" t="s">
        <v>25</v>
      </c>
      <c r="L17" t="s">
        <v>19</v>
      </c>
      <c r="M17" t="s">
        <v>23</v>
      </c>
      <c r="N17" t="s">
        <v>21</v>
      </c>
      <c r="O17" t="s">
        <v>20</v>
      </c>
    </row>
    <row r="18" spans="1:15">
      <c r="A18" t="s">
        <v>63</v>
      </c>
      <c r="B18">
        <v>1</v>
      </c>
      <c r="C18">
        <v>1</v>
      </c>
      <c r="D18">
        <v>9.9999999999999895E-2</v>
      </c>
      <c r="E18" t="s">
        <v>80</v>
      </c>
      <c r="F18" s="2" t="s">
        <v>18</v>
      </c>
      <c r="G18" t="s">
        <v>23</v>
      </c>
      <c r="H18" t="s">
        <v>19</v>
      </c>
      <c r="I18" t="s">
        <v>22</v>
      </c>
      <c r="J18" t="s">
        <v>17</v>
      </c>
      <c r="K18" s="2" t="s">
        <v>18</v>
      </c>
      <c r="L18" t="s">
        <v>23</v>
      </c>
      <c r="M18" t="s">
        <v>19</v>
      </c>
      <c r="N18" t="s">
        <v>22</v>
      </c>
      <c r="O18" t="s">
        <v>17</v>
      </c>
    </row>
    <row r="19" spans="1:15">
      <c r="A19" t="s">
        <v>63</v>
      </c>
      <c r="B19">
        <v>1</v>
      </c>
      <c r="C19">
        <v>1</v>
      </c>
      <c r="D19">
        <v>0</v>
      </c>
      <c r="E19" t="s">
        <v>80</v>
      </c>
      <c r="F19" s="2" t="s">
        <v>22</v>
      </c>
      <c r="G19" t="s">
        <v>26</v>
      </c>
      <c r="H19" t="s">
        <v>24</v>
      </c>
      <c r="I19" t="s">
        <v>25</v>
      </c>
      <c r="J19" t="s">
        <v>23</v>
      </c>
      <c r="K19" s="2" t="s">
        <v>22</v>
      </c>
      <c r="L19" t="s">
        <v>26</v>
      </c>
      <c r="O19" t="s">
        <v>23</v>
      </c>
    </row>
    <row r="20" spans="1:15">
      <c r="A20" t="s">
        <v>63</v>
      </c>
      <c r="B20">
        <v>1</v>
      </c>
      <c r="C20">
        <v>1</v>
      </c>
      <c r="D20">
        <v>-0.1</v>
      </c>
      <c r="E20" t="s">
        <v>80</v>
      </c>
      <c r="F20" s="2" t="s">
        <v>17</v>
      </c>
      <c r="G20" t="s">
        <v>26</v>
      </c>
      <c r="H20" t="s">
        <v>22</v>
      </c>
      <c r="I20" t="s">
        <v>20</v>
      </c>
      <c r="J20" t="s">
        <v>23</v>
      </c>
      <c r="K20" s="2" t="s">
        <v>17</v>
      </c>
      <c r="L20" t="s">
        <v>26</v>
      </c>
      <c r="O20" t="s">
        <v>23</v>
      </c>
    </row>
    <row r="21" spans="1:15">
      <c r="A21" t="s">
        <v>63</v>
      </c>
      <c r="B21">
        <v>1</v>
      </c>
      <c r="C21">
        <v>1</v>
      </c>
      <c r="D21">
        <v>-0.2</v>
      </c>
      <c r="E21" t="s">
        <v>80</v>
      </c>
      <c r="F21" s="2" t="s">
        <v>18</v>
      </c>
      <c r="G21" t="s">
        <v>22</v>
      </c>
      <c r="H21" t="s">
        <v>19</v>
      </c>
      <c r="I21" t="s">
        <v>26</v>
      </c>
      <c r="J21" t="s">
        <v>17</v>
      </c>
    </row>
    <row r="22" spans="1:15">
      <c r="A22" t="s">
        <v>63</v>
      </c>
      <c r="B22">
        <v>1</v>
      </c>
      <c r="C22">
        <v>1</v>
      </c>
      <c r="D22">
        <v>-0.3</v>
      </c>
      <c r="E22" t="s">
        <v>80</v>
      </c>
      <c r="F22" s="2" t="s">
        <v>26</v>
      </c>
      <c r="G22" t="s">
        <v>19</v>
      </c>
      <c r="H22" t="s">
        <v>21</v>
      </c>
      <c r="I22" t="s">
        <v>25</v>
      </c>
      <c r="J22" t="s">
        <v>22</v>
      </c>
    </row>
    <row r="23" spans="1:15">
      <c r="A23" t="s">
        <v>65</v>
      </c>
      <c r="B23">
        <f>1/3.48</f>
        <v>0.28735632183908044</v>
      </c>
      <c r="C23">
        <f>1/3.48</f>
        <v>0.28735632183908044</v>
      </c>
      <c r="D23">
        <v>1.7</v>
      </c>
      <c r="E23" t="s">
        <v>80</v>
      </c>
      <c r="F23" s="2" t="s">
        <v>26</v>
      </c>
      <c r="G23" t="s">
        <v>18</v>
      </c>
      <c r="H23" t="s">
        <v>20</v>
      </c>
      <c r="I23" t="s">
        <v>22</v>
      </c>
      <c r="J23" t="s">
        <v>19</v>
      </c>
      <c r="K23" s="2" t="s">
        <v>26</v>
      </c>
      <c r="L23" t="s">
        <v>18</v>
      </c>
      <c r="M23" t="s">
        <v>20</v>
      </c>
      <c r="N23" t="s">
        <v>22</v>
      </c>
      <c r="O23" t="s">
        <v>19</v>
      </c>
    </row>
    <row r="24" spans="1:15">
      <c r="A24" t="s">
        <v>65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80</v>
      </c>
      <c r="F24" s="2" t="s">
        <v>19</v>
      </c>
      <c r="G24" t="s">
        <v>24</v>
      </c>
      <c r="H24" t="s">
        <v>26</v>
      </c>
      <c r="I24" t="s">
        <v>23</v>
      </c>
      <c r="J24" t="s">
        <v>17</v>
      </c>
      <c r="K24" s="2" t="s">
        <v>19</v>
      </c>
      <c r="L24" t="s">
        <v>24</v>
      </c>
      <c r="M24" t="s">
        <v>26</v>
      </c>
      <c r="N24" t="s">
        <v>23</v>
      </c>
      <c r="O24" t="s">
        <v>17</v>
      </c>
    </row>
    <row r="25" spans="1:15">
      <c r="A25" t="s">
        <v>65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80</v>
      </c>
      <c r="F25" s="2" t="s">
        <v>17</v>
      </c>
      <c r="G25" t="s">
        <v>19</v>
      </c>
      <c r="H25" t="s">
        <v>23</v>
      </c>
      <c r="I25" t="s">
        <v>24</v>
      </c>
      <c r="J25" t="s">
        <v>21</v>
      </c>
      <c r="K25" s="2" t="s">
        <v>17</v>
      </c>
      <c r="L25" t="s">
        <v>19</v>
      </c>
      <c r="M25" t="s">
        <v>23</v>
      </c>
      <c r="N25" t="s">
        <v>24</v>
      </c>
      <c r="O25" t="s">
        <v>21</v>
      </c>
    </row>
    <row r="26" spans="1:15">
      <c r="A26" t="s">
        <v>65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80</v>
      </c>
      <c r="F26" s="2" t="s">
        <v>20</v>
      </c>
      <c r="G26" t="s">
        <v>17</v>
      </c>
      <c r="H26" t="s">
        <v>19</v>
      </c>
      <c r="I26" t="s">
        <v>26</v>
      </c>
      <c r="J26" t="s">
        <v>21</v>
      </c>
      <c r="K26" s="2" t="s">
        <v>20</v>
      </c>
      <c r="L26" t="s">
        <v>17</v>
      </c>
      <c r="M26" t="s">
        <v>19</v>
      </c>
      <c r="N26" t="s">
        <v>26</v>
      </c>
      <c r="O26" t="s">
        <v>21</v>
      </c>
    </row>
    <row r="27" spans="1:15">
      <c r="A27" t="s">
        <v>65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80</v>
      </c>
      <c r="F27" s="2" t="s">
        <v>18</v>
      </c>
      <c r="G27" t="s">
        <v>23</v>
      </c>
      <c r="H27" t="s">
        <v>20</v>
      </c>
      <c r="I27" t="s">
        <v>26</v>
      </c>
      <c r="J27" t="s">
        <v>22</v>
      </c>
      <c r="K27" s="2" t="s">
        <v>18</v>
      </c>
      <c r="L27" t="s">
        <v>23</v>
      </c>
      <c r="M27" t="s">
        <v>20</v>
      </c>
      <c r="N27" t="s">
        <v>26</v>
      </c>
      <c r="O27" t="s">
        <v>22</v>
      </c>
    </row>
    <row r="28" spans="1:15">
      <c r="A28" t="s">
        <v>65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80</v>
      </c>
      <c r="F28" s="2" t="s">
        <v>26</v>
      </c>
      <c r="G28" t="s">
        <v>19</v>
      </c>
      <c r="H28" t="s">
        <v>24</v>
      </c>
      <c r="I28" t="s">
        <v>23</v>
      </c>
      <c r="J28" t="s">
        <v>17</v>
      </c>
      <c r="K28" s="2" t="s">
        <v>26</v>
      </c>
      <c r="L28" t="s">
        <v>19</v>
      </c>
      <c r="M28" t="s">
        <v>24</v>
      </c>
      <c r="N28" t="s">
        <v>23</v>
      </c>
      <c r="O28" t="s">
        <v>17</v>
      </c>
    </row>
    <row r="29" spans="1:15">
      <c r="A29" t="s">
        <v>65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80</v>
      </c>
      <c r="F29" s="2" t="s">
        <v>18</v>
      </c>
      <c r="G29" t="s">
        <v>26</v>
      </c>
      <c r="H29" t="s">
        <v>19</v>
      </c>
      <c r="I29" t="s">
        <v>25</v>
      </c>
      <c r="J29" t="s">
        <v>20</v>
      </c>
      <c r="K29" s="2" t="s">
        <v>18</v>
      </c>
      <c r="L29" t="s">
        <v>26</v>
      </c>
      <c r="M29" t="s">
        <v>19</v>
      </c>
      <c r="N29" t="s">
        <v>25</v>
      </c>
      <c r="O29" t="s">
        <v>20</v>
      </c>
    </row>
    <row r="30" spans="1:15">
      <c r="A30" t="s">
        <v>65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80</v>
      </c>
      <c r="F30" s="2" t="s">
        <v>24</v>
      </c>
      <c r="G30" t="s">
        <v>18</v>
      </c>
      <c r="H30" t="s">
        <v>25</v>
      </c>
      <c r="I30" t="s">
        <v>23</v>
      </c>
      <c r="J30" t="s">
        <v>17</v>
      </c>
      <c r="K30" s="2" t="s">
        <v>24</v>
      </c>
      <c r="L30" t="s">
        <v>18</v>
      </c>
      <c r="M30" t="s">
        <v>25</v>
      </c>
      <c r="N30" t="s">
        <v>23</v>
      </c>
      <c r="O30" t="s">
        <v>17</v>
      </c>
    </row>
    <row r="31" spans="1:15">
      <c r="A31" t="s">
        <v>65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80</v>
      </c>
      <c r="F31" s="2" t="s">
        <v>20</v>
      </c>
      <c r="G31" t="s">
        <v>19</v>
      </c>
      <c r="H31" t="s">
        <v>24</v>
      </c>
      <c r="I31" t="s">
        <v>23</v>
      </c>
      <c r="J31" t="s">
        <v>22</v>
      </c>
      <c r="K31" s="2" t="s">
        <v>20</v>
      </c>
      <c r="L31" t="s">
        <v>19</v>
      </c>
      <c r="M31" t="s">
        <v>24</v>
      </c>
      <c r="N31" t="s">
        <v>23</v>
      </c>
      <c r="O31" t="s">
        <v>22</v>
      </c>
    </row>
    <row r="32" spans="1:15">
      <c r="A32" t="s">
        <v>65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80</v>
      </c>
      <c r="F32" s="2" t="s">
        <v>26</v>
      </c>
      <c r="G32" t="s">
        <v>23</v>
      </c>
      <c r="H32" t="s">
        <v>17</v>
      </c>
      <c r="I32" t="s">
        <v>20</v>
      </c>
      <c r="J32" t="s">
        <v>24</v>
      </c>
      <c r="K32" s="2" t="s">
        <v>26</v>
      </c>
      <c r="L32" t="s">
        <v>23</v>
      </c>
      <c r="M32" t="s">
        <v>17</v>
      </c>
      <c r="N32" t="s">
        <v>20</v>
      </c>
      <c r="O32" t="s">
        <v>24</v>
      </c>
    </row>
    <row r="33" spans="1:15">
      <c r="A33" t="s">
        <v>65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80</v>
      </c>
      <c r="F33" s="2" t="s">
        <v>26</v>
      </c>
      <c r="G33" t="s">
        <v>18</v>
      </c>
      <c r="H33" t="s">
        <v>23</v>
      </c>
      <c r="I33" t="s">
        <v>17</v>
      </c>
      <c r="J33" t="s">
        <v>24</v>
      </c>
      <c r="K33" s="2" t="s">
        <v>26</v>
      </c>
      <c r="L33" t="s">
        <v>18</v>
      </c>
      <c r="M33" t="s">
        <v>23</v>
      </c>
      <c r="N33" t="s">
        <v>17</v>
      </c>
      <c r="O33" t="s">
        <v>24</v>
      </c>
    </row>
    <row r="34" spans="1:15">
      <c r="A34" t="s">
        <v>65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80</v>
      </c>
      <c r="F34" s="2" t="s">
        <v>19</v>
      </c>
      <c r="G34" t="s">
        <v>17</v>
      </c>
      <c r="H34" t="s">
        <v>22</v>
      </c>
      <c r="I34" t="s">
        <v>21</v>
      </c>
      <c r="J34" t="s">
        <v>23</v>
      </c>
      <c r="K34" s="2" t="s">
        <v>19</v>
      </c>
      <c r="L34" t="s">
        <v>17</v>
      </c>
      <c r="M34" t="s">
        <v>22</v>
      </c>
      <c r="N34" t="s">
        <v>21</v>
      </c>
      <c r="O34" t="s">
        <v>23</v>
      </c>
    </row>
    <row r="35" spans="1:15">
      <c r="A35" t="s">
        <v>65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80</v>
      </c>
      <c r="F35" s="2" t="s">
        <v>21</v>
      </c>
      <c r="G35" t="s">
        <v>24</v>
      </c>
      <c r="H35" t="s">
        <v>19</v>
      </c>
      <c r="I35" t="s">
        <v>23</v>
      </c>
      <c r="J35" t="s">
        <v>20</v>
      </c>
      <c r="K35" s="2" t="s">
        <v>21</v>
      </c>
      <c r="L35" t="s">
        <v>24</v>
      </c>
      <c r="M35" t="s">
        <v>19</v>
      </c>
      <c r="N35" t="s">
        <v>23</v>
      </c>
      <c r="O35" t="s">
        <v>20</v>
      </c>
    </row>
    <row r="36" spans="1:15">
      <c r="A36" t="s">
        <v>65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80</v>
      </c>
      <c r="F36" s="2" t="s">
        <v>23</v>
      </c>
      <c r="G36" t="s">
        <v>24</v>
      </c>
      <c r="H36" t="s">
        <v>21</v>
      </c>
      <c r="I36" t="s">
        <v>17</v>
      </c>
      <c r="J36" t="s">
        <v>25</v>
      </c>
      <c r="K36" s="2" t="s">
        <v>23</v>
      </c>
      <c r="L36" t="s">
        <v>24</v>
      </c>
      <c r="M36" t="s">
        <v>21</v>
      </c>
      <c r="N36" t="s">
        <v>17</v>
      </c>
      <c r="O36" t="s">
        <v>25</v>
      </c>
    </row>
    <row r="37" spans="1:15">
      <c r="A37" t="s">
        <v>65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80</v>
      </c>
      <c r="F37" s="2" t="s">
        <v>25</v>
      </c>
      <c r="G37" t="s">
        <v>17</v>
      </c>
      <c r="H37" t="s">
        <v>18</v>
      </c>
      <c r="I37" t="s">
        <v>22</v>
      </c>
      <c r="J37" t="s">
        <v>23</v>
      </c>
      <c r="K37" s="2" t="s">
        <v>25</v>
      </c>
      <c r="L37" t="s">
        <v>17</v>
      </c>
      <c r="N37" t="s">
        <v>22</v>
      </c>
      <c r="O37" t="s">
        <v>23</v>
      </c>
    </row>
    <row r="38" spans="1:15">
      <c r="A38" t="s">
        <v>65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80</v>
      </c>
      <c r="F38" s="2" t="s">
        <v>26</v>
      </c>
      <c r="G38" t="s">
        <v>18</v>
      </c>
      <c r="H38" t="s">
        <v>25</v>
      </c>
      <c r="I38" t="s">
        <v>23</v>
      </c>
      <c r="J38" t="s">
        <v>17</v>
      </c>
      <c r="K38" s="2" t="s">
        <v>26</v>
      </c>
      <c r="L38" t="s">
        <v>18</v>
      </c>
    </row>
    <row r="39" spans="1:15">
      <c r="A39" t="s">
        <v>65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80</v>
      </c>
      <c r="F39" s="2" t="s">
        <v>18</v>
      </c>
      <c r="G39" t="s">
        <v>22</v>
      </c>
      <c r="H39" t="s">
        <v>21</v>
      </c>
      <c r="I39" t="s">
        <v>19</v>
      </c>
      <c r="J39" t="s">
        <v>25</v>
      </c>
      <c r="K39" s="2"/>
    </row>
    <row r="40" spans="1:15">
      <c r="A40" t="s">
        <v>65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80</v>
      </c>
      <c r="F40" s="2" t="s">
        <v>23</v>
      </c>
      <c r="G40" t="s">
        <v>20</v>
      </c>
      <c r="H40" t="s">
        <v>25</v>
      </c>
      <c r="I40" t="s">
        <v>22</v>
      </c>
      <c r="J40" t="s">
        <v>21</v>
      </c>
    </row>
    <row r="41" spans="1:15">
      <c r="A41" t="s">
        <v>65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80</v>
      </c>
      <c r="F41" s="2" t="s">
        <v>17</v>
      </c>
      <c r="G41" t="s">
        <v>20</v>
      </c>
      <c r="H41" t="s">
        <v>19</v>
      </c>
      <c r="I41" t="s">
        <v>22</v>
      </c>
      <c r="J41" t="s">
        <v>23</v>
      </c>
    </row>
    <row r="42" spans="1:15">
      <c r="A42" t="s">
        <v>65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80</v>
      </c>
      <c r="F42" s="2" t="s">
        <v>26</v>
      </c>
      <c r="G42" t="s">
        <v>18</v>
      </c>
      <c r="H42" t="s">
        <v>25</v>
      </c>
      <c r="I42" t="s">
        <v>24</v>
      </c>
      <c r="J42" t="s">
        <v>23</v>
      </c>
    </row>
    <row r="43" spans="1:15">
      <c r="A43" t="s">
        <v>65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80</v>
      </c>
      <c r="F43" s="2" t="s">
        <v>19</v>
      </c>
      <c r="G43" t="s">
        <v>23</v>
      </c>
      <c r="H43" t="s">
        <v>21</v>
      </c>
      <c r="I43" t="s">
        <v>18</v>
      </c>
      <c r="J43" t="s">
        <v>20</v>
      </c>
    </row>
    <row r="44" spans="1:15">
      <c r="A44" t="s">
        <v>66</v>
      </c>
      <c r="B44">
        <f>1/6.4</f>
        <v>0.15625</v>
      </c>
      <c r="C44">
        <f>1/6.4</f>
        <v>0.15625</v>
      </c>
      <c r="D44">
        <v>1.7</v>
      </c>
      <c r="E44" t="s">
        <v>80</v>
      </c>
      <c r="F44" s="2" t="s">
        <v>25</v>
      </c>
      <c r="G44" t="s">
        <v>18</v>
      </c>
      <c r="H44" t="s">
        <v>17</v>
      </c>
      <c r="I44" t="s">
        <v>21</v>
      </c>
      <c r="J44" t="s">
        <v>22</v>
      </c>
      <c r="K44" s="2" t="s">
        <v>25</v>
      </c>
      <c r="L44" t="s">
        <v>18</v>
      </c>
      <c r="M44" t="s">
        <v>17</v>
      </c>
      <c r="N44" t="s">
        <v>21</v>
      </c>
      <c r="O44" t="s">
        <v>22</v>
      </c>
    </row>
    <row r="45" spans="1:15">
      <c r="A45" t="s">
        <v>66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80</v>
      </c>
      <c r="F45" s="2" t="s">
        <v>23</v>
      </c>
      <c r="G45" t="s">
        <v>20</v>
      </c>
      <c r="H45" t="s">
        <v>25</v>
      </c>
      <c r="I45" t="s">
        <v>19</v>
      </c>
      <c r="J45" t="s">
        <v>21</v>
      </c>
      <c r="K45" s="2" t="s">
        <v>23</v>
      </c>
      <c r="L45" t="s">
        <v>20</v>
      </c>
      <c r="M45" t="s">
        <v>25</v>
      </c>
      <c r="N45" t="s">
        <v>19</v>
      </c>
      <c r="O45" t="s">
        <v>21</v>
      </c>
    </row>
    <row r="46" spans="1:15">
      <c r="A46" t="s">
        <v>66</v>
      </c>
      <c r="B46">
        <f t="shared" si="1"/>
        <v>0.15625</v>
      </c>
      <c r="C46">
        <f t="shared" si="1"/>
        <v>0.15625</v>
      </c>
      <c r="D46">
        <v>1.5</v>
      </c>
      <c r="E46" t="s">
        <v>80</v>
      </c>
      <c r="F46" s="2" t="s">
        <v>19</v>
      </c>
      <c r="G46" t="s">
        <v>20</v>
      </c>
      <c r="H46" t="s">
        <v>22</v>
      </c>
      <c r="I46" t="s">
        <v>25</v>
      </c>
      <c r="J46" t="s">
        <v>23</v>
      </c>
      <c r="K46" s="2" t="s">
        <v>19</v>
      </c>
      <c r="L46" t="s">
        <v>20</v>
      </c>
      <c r="M46" t="s">
        <v>22</v>
      </c>
      <c r="N46" t="s">
        <v>25</v>
      </c>
      <c r="O46" t="s">
        <v>23</v>
      </c>
    </row>
    <row r="47" spans="1:15">
      <c r="A47" t="s">
        <v>66</v>
      </c>
      <c r="B47">
        <f t="shared" si="1"/>
        <v>0.15625</v>
      </c>
      <c r="C47">
        <f t="shared" si="1"/>
        <v>0.15625</v>
      </c>
      <c r="D47">
        <v>1.4</v>
      </c>
      <c r="E47" t="s">
        <v>80</v>
      </c>
      <c r="F47" s="2" t="s">
        <v>25</v>
      </c>
      <c r="G47" t="s">
        <v>17</v>
      </c>
      <c r="H47" t="s">
        <v>26</v>
      </c>
      <c r="I47" t="s">
        <v>21</v>
      </c>
      <c r="J47" t="s">
        <v>22</v>
      </c>
      <c r="K47" s="2" t="s">
        <v>25</v>
      </c>
      <c r="L47" t="s">
        <v>17</v>
      </c>
      <c r="M47" t="s">
        <v>26</v>
      </c>
      <c r="N47" t="s">
        <v>21</v>
      </c>
      <c r="O47" t="s">
        <v>22</v>
      </c>
    </row>
    <row r="48" spans="1:15">
      <c r="A48" t="s">
        <v>66</v>
      </c>
      <c r="B48">
        <f t="shared" si="1"/>
        <v>0.15625</v>
      </c>
      <c r="C48">
        <f t="shared" si="1"/>
        <v>0.15625</v>
      </c>
      <c r="D48">
        <v>1.3</v>
      </c>
      <c r="E48" t="s">
        <v>80</v>
      </c>
      <c r="F48" s="2" t="s">
        <v>18</v>
      </c>
      <c r="G48" t="s">
        <v>21</v>
      </c>
      <c r="H48" t="s">
        <v>23</v>
      </c>
      <c r="I48" t="s">
        <v>19</v>
      </c>
      <c r="J48" t="s">
        <v>24</v>
      </c>
      <c r="K48" s="2" t="s">
        <v>18</v>
      </c>
      <c r="L48" t="s">
        <v>21</v>
      </c>
      <c r="M48" t="s">
        <v>23</v>
      </c>
      <c r="N48" t="s">
        <v>19</v>
      </c>
      <c r="O48" t="s">
        <v>24</v>
      </c>
    </row>
    <row r="49" spans="1:15">
      <c r="A49" t="s">
        <v>66</v>
      </c>
      <c r="B49">
        <f t="shared" si="1"/>
        <v>0.15625</v>
      </c>
      <c r="C49">
        <f t="shared" si="1"/>
        <v>0.15625</v>
      </c>
      <c r="D49">
        <v>1.2</v>
      </c>
      <c r="E49" t="s">
        <v>80</v>
      </c>
      <c r="F49" s="2" t="s">
        <v>20</v>
      </c>
      <c r="G49" t="s">
        <v>17</v>
      </c>
      <c r="H49" t="s">
        <v>25</v>
      </c>
      <c r="I49" t="s">
        <v>19</v>
      </c>
      <c r="J49" t="s">
        <v>23</v>
      </c>
      <c r="K49" s="2" t="s">
        <v>20</v>
      </c>
      <c r="L49" t="s">
        <v>17</v>
      </c>
      <c r="M49" t="s">
        <v>25</v>
      </c>
      <c r="N49" t="s">
        <v>19</v>
      </c>
      <c r="O49" t="s">
        <v>23</v>
      </c>
    </row>
    <row r="50" spans="1:15">
      <c r="A50" t="s">
        <v>66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80</v>
      </c>
      <c r="F50" s="2" t="s">
        <v>23</v>
      </c>
      <c r="G50" t="s">
        <v>26</v>
      </c>
      <c r="H50" t="s">
        <v>24</v>
      </c>
      <c r="I50" t="s">
        <v>25</v>
      </c>
      <c r="J50" t="s">
        <v>18</v>
      </c>
      <c r="K50" s="2" t="s">
        <v>23</v>
      </c>
      <c r="L50" t="s">
        <v>26</v>
      </c>
      <c r="M50" t="s">
        <v>24</v>
      </c>
      <c r="N50" t="s">
        <v>25</v>
      </c>
      <c r="O50" t="s">
        <v>18</v>
      </c>
    </row>
    <row r="51" spans="1:15">
      <c r="A51" t="s">
        <v>66</v>
      </c>
      <c r="B51">
        <f t="shared" si="1"/>
        <v>0.15625</v>
      </c>
      <c r="C51">
        <f t="shared" si="1"/>
        <v>0.15625</v>
      </c>
      <c r="D51">
        <v>1</v>
      </c>
      <c r="E51" t="s">
        <v>80</v>
      </c>
      <c r="F51" s="2" t="s">
        <v>23</v>
      </c>
      <c r="G51" t="s">
        <v>17</v>
      </c>
      <c r="H51" t="s">
        <v>19</v>
      </c>
      <c r="I51" t="s">
        <v>26</v>
      </c>
      <c r="J51" t="s">
        <v>18</v>
      </c>
      <c r="K51" s="2" t="s">
        <v>23</v>
      </c>
      <c r="L51" t="s">
        <v>17</v>
      </c>
      <c r="M51" t="s">
        <v>19</v>
      </c>
      <c r="N51" t="s">
        <v>26</v>
      </c>
      <c r="O51" t="s">
        <v>18</v>
      </c>
    </row>
    <row r="52" spans="1:15">
      <c r="A52" t="s">
        <v>66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80</v>
      </c>
      <c r="F52" s="2" t="s">
        <v>23</v>
      </c>
      <c r="G52" t="s">
        <v>22</v>
      </c>
      <c r="H52" t="s">
        <v>20</v>
      </c>
      <c r="I52" t="s">
        <v>26</v>
      </c>
      <c r="J52" t="s">
        <v>19</v>
      </c>
      <c r="K52" s="2" t="s">
        <v>23</v>
      </c>
      <c r="L52" t="s">
        <v>22</v>
      </c>
      <c r="M52" t="s">
        <v>20</v>
      </c>
      <c r="N52" t="s">
        <v>26</v>
      </c>
      <c r="O52" t="s">
        <v>19</v>
      </c>
    </row>
    <row r="53" spans="1:15">
      <c r="A53" t="s">
        <v>66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80</v>
      </c>
      <c r="F53" s="2" t="s">
        <v>24</v>
      </c>
      <c r="G53" t="s">
        <v>23</v>
      </c>
      <c r="H53" t="s">
        <v>26</v>
      </c>
      <c r="I53" t="s">
        <v>18</v>
      </c>
      <c r="J53" t="s">
        <v>20</v>
      </c>
      <c r="K53" s="2" t="s">
        <v>24</v>
      </c>
      <c r="L53" t="s">
        <v>23</v>
      </c>
      <c r="M53" t="s">
        <v>26</v>
      </c>
      <c r="N53" t="s">
        <v>18</v>
      </c>
      <c r="O53" t="s">
        <v>20</v>
      </c>
    </row>
    <row r="54" spans="1:15">
      <c r="A54" t="s">
        <v>66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80</v>
      </c>
      <c r="F54" s="2" t="s">
        <v>17</v>
      </c>
      <c r="G54" t="s">
        <v>24</v>
      </c>
      <c r="H54" t="s">
        <v>18</v>
      </c>
      <c r="I54" t="s">
        <v>19</v>
      </c>
      <c r="J54" t="s">
        <v>26</v>
      </c>
      <c r="K54" s="2" t="s">
        <v>17</v>
      </c>
      <c r="L54" t="s">
        <v>24</v>
      </c>
      <c r="M54" t="s">
        <v>18</v>
      </c>
      <c r="N54" t="s">
        <v>19</v>
      </c>
      <c r="O54" t="s">
        <v>26</v>
      </c>
    </row>
    <row r="55" spans="1:15">
      <c r="A55" t="s">
        <v>66</v>
      </c>
      <c r="B55">
        <f t="shared" si="1"/>
        <v>0.15625</v>
      </c>
      <c r="C55">
        <f t="shared" si="1"/>
        <v>0.15625</v>
      </c>
      <c r="D55">
        <v>0.6</v>
      </c>
      <c r="E55" t="s">
        <v>80</v>
      </c>
      <c r="F55" s="2" t="s">
        <v>24</v>
      </c>
      <c r="G55" t="s">
        <v>26</v>
      </c>
      <c r="H55" t="s">
        <v>25</v>
      </c>
      <c r="I55" t="s">
        <v>20</v>
      </c>
      <c r="J55" t="s">
        <v>19</v>
      </c>
      <c r="K55" s="2" t="s">
        <v>24</v>
      </c>
      <c r="L55" t="s">
        <v>26</v>
      </c>
      <c r="M55" t="s">
        <v>25</v>
      </c>
      <c r="O55" t="s">
        <v>19</v>
      </c>
    </row>
    <row r="56" spans="1:15">
      <c r="A56" t="s">
        <v>66</v>
      </c>
      <c r="B56">
        <f t="shared" si="1"/>
        <v>0.15625</v>
      </c>
      <c r="C56">
        <f t="shared" si="1"/>
        <v>0.15625</v>
      </c>
      <c r="D56">
        <v>0.5</v>
      </c>
      <c r="E56" t="s">
        <v>80</v>
      </c>
      <c r="F56" s="2" t="s">
        <v>22</v>
      </c>
      <c r="G56" t="s">
        <v>18</v>
      </c>
      <c r="H56" t="s">
        <v>24</v>
      </c>
      <c r="I56" t="s">
        <v>25</v>
      </c>
      <c r="J56" t="s">
        <v>26</v>
      </c>
      <c r="L56" t="s">
        <v>18</v>
      </c>
      <c r="M56" t="s">
        <v>24</v>
      </c>
      <c r="N56" t="s">
        <v>25</v>
      </c>
      <c r="O56" t="s">
        <v>26</v>
      </c>
    </row>
    <row r="57" spans="1:15">
      <c r="A57" t="s">
        <v>66</v>
      </c>
      <c r="B57">
        <f t="shared" si="1"/>
        <v>0.15625</v>
      </c>
      <c r="C57">
        <f t="shared" si="1"/>
        <v>0.15625</v>
      </c>
      <c r="D57">
        <v>0.4</v>
      </c>
      <c r="E57" t="s">
        <v>80</v>
      </c>
      <c r="F57" s="2" t="s">
        <v>20</v>
      </c>
      <c r="G57" t="s">
        <v>17</v>
      </c>
      <c r="H57" t="s">
        <v>18</v>
      </c>
      <c r="I57" t="s">
        <v>19</v>
      </c>
      <c r="J57" t="s">
        <v>26</v>
      </c>
    </row>
    <row r="58" spans="1:15">
      <c r="A58" t="s">
        <v>66</v>
      </c>
      <c r="B58">
        <f t="shared" si="1"/>
        <v>0.15625</v>
      </c>
      <c r="C58">
        <f t="shared" si="1"/>
        <v>0.15625</v>
      </c>
      <c r="D58">
        <v>0.3</v>
      </c>
      <c r="E58" t="s">
        <v>80</v>
      </c>
      <c r="F58" s="2" t="s">
        <v>23</v>
      </c>
      <c r="G58" t="s">
        <v>25</v>
      </c>
      <c r="H58" t="s">
        <v>17</v>
      </c>
      <c r="I58" t="s">
        <v>22</v>
      </c>
      <c r="J58" t="s">
        <v>21</v>
      </c>
    </row>
    <row r="59" spans="1:15">
      <c r="A59" t="s">
        <v>66</v>
      </c>
      <c r="B59">
        <f t="shared" si="1"/>
        <v>0.15625</v>
      </c>
      <c r="C59">
        <f t="shared" si="1"/>
        <v>0.15625</v>
      </c>
      <c r="D59">
        <v>0.2</v>
      </c>
      <c r="E59" t="s">
        <v>80</v>
      </c>
      <c r="F59" s="2" t="s">
        <v>19</v>
      </c>
      <c r="G59" t="s">
        <v>22</v>
      </c>
      <c r="H59" t="s">
        <v>20</v>
      </c>
      <c r="I59" t="s">
        <v>21</v>
      </c>
      <c r="J59" t="s">
        <v>26</v>
      </c>
    </row>
    <row r="60" spans="1:15">
      <c r="A60" t="s">
        <v>66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80</v>
      </c>
      <c r="F60" s="2" t="s">
        <v>21</v>
      </c>
      <c r="G60" t="s">
        <v>23</v>
      </c>
      <c r="H60" t="s">
        <v>25</v>
      </c>
      <c r="I60" t="s">
        <v>19</v>
      </c>
      <c r="J60" t="s">
        <v>17</v>
      </c>
    </row>
    <row r="61" spans="1:15">
      <c r="A61" t="s">
        <v>66</v>
      </c>
      <c r="B61">
        <f t="shared" si="1"/>
        <v>0.15625</v>
      </c>
      <c r="C61">
        <f t="shared" si="1"/>
        <v>0.15625</v>
      </c>
      <c r="D61">
        <v>0</v>
      </c>
      <c r="E61" t="s">
        <v>80</v>
      </c>
      <c r="F61" s="2" t="s">
        <v>26</v>
      </c>
      <c r="G61" t="s">
        <v>24</v>
      </c>
      <c r="H61" t="s">
        <v>23</v>
      </c>
      <c r="I61" t="s">
        <v>21</v>
      </c>
      <c r="J61" t="s">
        <v>22</v>
      </c>
    </row>
    <row r="62" spans="1:15">
      <c r="A62" t="s">
        <v>66</v>
      </c>
      <c r="B62">
        <f t="shared" si="1"/>
        <v>0.15625</v>
      </c>
      <c r="C62">
        <f t="shared" si="1"/>
        <v>0.15625</v>
      </c>
      <c r="D62">
        <v>-0.1</v>
      </c>
      <c r="E62" t="s">
        <v>80</v>
      </c>
      <c r="F62" s="2" t="s">
        <v>19</v>
      </c>
      <c r="G62" t="s">
        <v>22</v>
      </c>
      <c r="H62" t="s">
        <v>23</v>
      </c>
      <c r="I62" t="s">
        <v>18</v>
      </c>
      <c r="J62" t="s">
        <v>26</v>
      </c>
    </row>
    <row r="63" spans="1:15">
      <c r="A63" t="s">
        <v>66</v>
      </c>
      <c r="B63">
        <f t="shared" si="1"/>
        <v>0.15625</v>
      </c>
      <c r="C63">
        <f t="shared" si="1"/>
        <v>0.15625</v>
      </c>
      <c r="D63">
        <v>-0.2</v>
      </c>
      <c r="E63" t="s">
        <v>80</v>
      </c>
      <c r="F63" s="2" t="s">
        <v>26</v>
      </c>
      <c r="G63" t="s">
        <v>23</v>
      </c>
      <c r="H63" t="s">
        <v>20</v>
      </c>
      <c r="I63" t="s">
        <v>25</v>
      </c>
      <c r="J63" t="s">
        <v>17</v>
      </c>
    </row>
    <row r="64" spans="1:15">
      <c r="A64" t="s">
        <v>66</v>
      </c>
      <c r="B64">
        <f t="shared" si="1"/>
        <v>0.15625</v>
      </c>
      <c r="C64">
        <f t="shared" si="1"/>
        <v>0.15625</v>
      </c>
      <c r="D64">
        <v>-0.3</v>
      </c>
      <c r="E64" t="s">
        <v>80</v>
      </c>
      <c r="F64" s="2" t="s">
        <v>19</v>
      </c>
      <c r="G64" t="s">
        <v>25</v>
      </c>
      <c r="H64" t="s">
        <v>26</v>
      </c>
      <c r="I64" t="s">
        <v>24</v>
      </c>
      <c r="J64" t="s">
        <v>23</v>
      </c>
    </row>
    <row r="65" spans="1:15">
      <c r="A65" t="s">
        <v>67</v>
      </c>
      <c r="B65">
        <f>1/11.65</f>
        <v>8.5836909871244635E-2</v>
      </c>
      <c r="C65">
        <f>1/11.65</f>
        <v>8.5836909871244635E-2</v>
      </c>
      <c r="D65">
        <v>1.7</v>
      </c>
      <c r="E65" t="s">
        <v>80</v>
      </c>
      <c r="F65" s="2" t="s">
        <v>26</v>
      </c>
      <c r="G65" t="s">
        <v>23</v>
      </c>
      <c r="H65" t="s">
        <v>19</v>
      </c>
      <c r="I65" t="s">
        <v>25</v>
      </c>
      <c r="J65" t="s">
        <v>18</v>
      </c>
      <c r="K65" s="2" t="s">
        <v>26</v>
      </c>
      <c r="L65" t="s">
        <v>23</v>
      </c>
      <c r="M65" t="s">
        <v>19</v>
      </c>
      <c r="N65" t="s">
        <v>25</v>
      </c>
      <c r="O65" t="s">
        <v>18</v>
      </c>
    </row>
    <row r="66" spans="1:15">
      <c r="A66" t="s">
        <v>67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80</v>
      </c>
      <c r="F66" s="2" t="s">
        <v>17</v>
      </c>
      <c r="G66" t="s">
        <v>21</v>
      </c>
      <c r="H66" t="s">
        <v>25</v>
      </c>
      <c r="I66" t="s">
        <v>22</v>
      </c>
      <c r="J66" t="s">
        <v>18</v>
      </c>
      <c r="K66" s="2" t="s">
        <v>17</v>
      </c>
      <c r="L66" t="s">
        <v>21</v>
      </c>
      <c r="M66" t="s">
        <v>25</v>
      </c>
      <c r="N66" t="s">
        <v>22</v>
      </c>
      <c r="O66" t="s">
        <v>18</v>
      </c>
    </row>
    <row r="67" spans="1:15">
      <c r="A67" t="s">
        <v>67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80</v>
      </c>
      <c r="F67" s="2" t="s">
        <v>22</v>
      </c>
      <c r="G67" t="s">
        <v>18</v>
      </c>
      <c r="H67" t="s">
        <v>19</v>
      </c>
      <c r="I67" t="s">
        <v>20</v>
      </c>
      <c r="J67" t="s">
        <v>17</v>
      </c>
      <c r="K67" s="2" t="s">
        <v>22</v>
      </c>
      <c r="L67" t="s">
        <v>18</v>
      </c>
      <c r="M67" t="s">
        <v>19</v>
      </c>
      <c r="N67" t="s">
        <v>20</v>
      </c>
      <c r="O67" t="s">
        <v>17</v>
      </c>
    </row>
    <row r="68" spans="1:15">
      <c r="A68" t="s">
        <v>67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80</v>
      </c>
      <c r="F68" s="2" t="s">
        <v>23</v>
      </c>
      <c r="G68" t="s">
        <v>26</v>
      </c>
      <c r="H68" t="s">
        <v>17</v>
      </c>
      <c r="I68" t="s">
        <v>20</v>
      </c>
      <c r="J68" t="s">
        <v>21</v>
      </c>
      <c r="K68" s="2" t="s">
        <v>23</v>
      </c>
      <c r="L68" t="s">
        <v>26</v>
      </c>
      <c r="M68" t="s">
        <v>17</v>
      </c>
      <c r="N68" t="s">
        <v>20</v>
      </c>
      <c r="O68" t="s">
        <v>21</v>
      </c>
    </row>
    <row r="69" spans="1:15">
      <c r="A69" t="s">
        <v>67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80</v>
      </c>
      <c r="F69" s="2" t="s">
        <v>21</v>
      </c>
      <c r="G69" t="s">
        <v>26</v>
      </c>
      <c r="H69" t="s">
        <v>20</v>
      </c>
      <c r="I69" t="s">
        <v>19</v>
      </c>
      <c r="J69" t="s">
        <v>24</v>
      </c>
      <c r="K69" s="2" t="s">
        <v>21</v>
      </c>
      <c r="L69" t="s">
        <v>26</v>
      </c>
      <c r="M69" t="s">
        <v>20</v>
      </c>
      <c r="N69" t="s">
        <v>19</v>
      </c>
      <c r="O69" t="s">
        <v>24</v>
      </c>
    </row>
    <row r="70" spans="1:15">
      <c r="A70" t="s">
        <v>67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80</v>
      </c>
      <c r="F70" s="2" t="s">
        <v>21</v>
      </c>
      <c r="G70" t="s">
        <v>22</v>
      </c>
      <c r="H70" t="s">
        <v>24</v>
      </c>
      <c r="I70" t="s">
        <v>26</v>
      </c>
      <c r="J70" t="s">
        <v>17</v>
      </c>
      <c r="K70" s="2" t="s">
        <v>21</v>
      </c>
      <c r="L70" t="s">
        <v>22</v>
      </c>
      <c r="M70" t="s">
        <v>24</v>
      </c>
      <c r="N70" t="s">
        <v>26</v>
      </c>
      <c r="O70" t="s">
        <v>17</v>
      </c>
    </row>
    <row r="71" spans="1:15">
      <c r="A71" t="s">
        <v>67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80</v>
      </c>
      <c r="F71" s="2" t="s">
        <v>24</v>
      </c>
      <c r="G71" t="s">
        <v>23</v>
      </c>
      <c r="H71" t="s">
        <v>21</v>
      </c>
      <c r="I71" t="s">
        <v>17</v>
      </c>
      <c r="J71" t="s">
        <v>22</v>
      </c>
      <c r="K71" s="2" t="s">
        <v>24</v>
      </c>
      <c r="L71" t="s">
        <v>23</v>
      </c>
      <c r="M71" t="s">
        <v>21</v>
      </c>
      <c r="N71" t="s">
        <v>17</v>
      </c>
      <c r="O71" t="s">
        <v>22</v>
      </c>
    </row>
    <row r="72" spans="1:15">
      <c r="A72" t="s">
        <v>67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80</v>
      </c>
      <c r="F72" s="2" t="s">
        <v>22</v>
      </c>
      <c r="G72" t="s">
        <v>24</v>
      </c>
      <c r="H72" t="s">
        <v>18</v>
      </c>
      <c r="I72" t="s">
        <v>21</v>
      </c>
      <c r="J72" t="s">
        <v>19</v>
      </c>
      <c r="K72" s="2" t="s">
        <v>22</v>
      </c>
      <c r="L72" t="s">
        <v>24</v>
      </c>
      <c r="M72" t="s">
        <v>18</v>
      </c>
      <c r="N72" t="s">
        <v>21</v>
      </c>
      <c r="O72" t="s">
        <v>19</v>
      </c>
    </row>
    <row r="73" spans="1:15">
      <c r="A73" t="s">
        <v>67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80</v>
      </c>
      <c r="F73" s="2" t="s">
        <v>19</v>
      </c>
      <c r="G73" t="s">
        <v>23</v>
      </c>
      <c r="H73" t="s">
        <v>22</v>
      </c>
      <c r="I73" t="s">
        <v>17</v>
      </c>
      <c r="J73" t="s">
        <v>26</v>
      </c>
      <c r="M73" t="s">
        <v>22</v>
      </c>
      <c r="N73" t="s">
        <v>17</v>
      </c>
      <c r="O73" t="s">
        <v>26</v>
      </c>
    </row>
    <row r="74" spans="1:15">
      <c r="A74" t="s">
        <v>67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80</v>
      </c>
      <c r="F74" s="2" t="s">
        <v>26</v>
      </c>
      <c r="G74" t="s">
        <v>20</v>
      </c>
      <c r="H74" t="s">
        <v>21</v>
      </c>
      <c r="I74" t="s">
        <v>18</v>
      </c>
      <c r="J74" t="s">
        <v>19</v>
      </c>
    </row>
    <row r="75" spans="1:15">
      <c r="A75" t="s">
        <v>67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80</v>
      </c>
      <c r="F75" s="2" t="s">
        <v>25</v>
      </c>
      <c r="G75" t="s">
        <v>21</v>
      </c>
      <c r="H75" t="s">
        <v>24</v>
      </c>
      <c r="I75" t="s">
        <v>22</v>
      </c>
      <c r="J75" t="s">
        <v>17</v>
      </c>
    </row>
    <row r="76" spans="1:15">
      <c r="A76" t="s">
        <v>67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80</v>
      </c>
      <c r="F76" s="2" t="s">
        <v>23</v>
      </c>
      <c r="G76" t="s">
        <v>18</v>
      </c>
      <c r="H76" t="s">
        <v>17</v>
      </c>
      <c r="I76" t="s">
        <v>26</v>
      </c>
      <c r="J76" t="s">
        <v>25</v>
      </c>
    </row>
    <row r="77" spans="1:15">
      <c r="A77" t="s">
        <v>67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80</v>
      </c>
      <c r="F77" s="2" t="s">
        <v>17</v>
      </c>
      <c r="G77" t="s">
        <v>25</v>
      </c>
      <c r="H77" t="s">
        <v>23</v>
      </c>
      <c r="I77" t="s">
        <v>20</v>
      </c>
      <c r="J77" t="s">
        <v>18</v>
      </c>
    </row>
    <row r="78" spans="1:15">
      <c r="A78" t="s">
        <v>67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80</v>
      </c>
      <c r="F78" s="2" t="s">
        <v>24</v>
      </c>
      <c r="G78" t="s">
        <v>17</v>
      </c>
      <c r="H78" t="s">
        <v>26</v>
      </c>
      <c r="I78" t="s">
        <v>23</v>
      </c>
      <c r="J78" t="s">
        <v>19</v>
      </c>
    </row>
    <row r="79" spans="1:15">
      <c r="A79" t="s">
        <v>67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80</v>
      </c>
      <c r="F79" s="2" t="s">
        <v>26</v>
      </c>
      <c r="G79" t="s">
        <v>18</v>
      </c>
      <c r="H79" t="s">
        <v>21</v>
      </c>
      <c r="I79" t="s">
        <v>24</v>
      </c>
      <c r="J79" t="s">
        <v>22</v>
      </c>
    </row>
    <row r="80" spans="1:15">
      <c r="A80" t="s">
        <v>67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80</v>
      </c>
      <c r="F80" s="2" t="s">
        <v>26</v>
      </c>
      <c r="G80" t="s">
        <v>25</v>
      </c>
      <c r="H80" t="s">
        <v>20</v>
      </c>
      <c r="I80" t="s">
        <v>17</v>
      </c>
      <c r="J80" t="s">
        <v>23</v>
      </c>
    </row>
    <row r="81" spans="1:15">
      <c r="A81" t="s">
        <v>67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80</v>
      </c>
      <c r="F81" s="2" t="s">
        <v>23</v>
      </c>
      <c r="G81" t="s">
        <v>22</v>
      </c>
      <c r="H81" t="s">
        <v>25</v>
      </c>
      <c r="I81" t="s">
        <v>24</v>
      </c>
      <c r="J81" t="s">
        <v>26</v>
      </c>
    </row>
    <row r="82" spans="1:15">
      <c r="A82" t="s">
        <v>67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80</v>
      </c>
      <c r="F82" s="2" t="s">
        <v>24</v>
      </c>
      <c r="G82" t="s">
        <v>17</v>
      </c>
      <c r="H82" t="s">
        <v>23</v>
      </c>
      <c r="I82" t="s">
        <v>22</v>
      </c>
      <c r="J82" t="s">
        <v>25</v>
      </c>
    </row>
    <row r="83" spans="1:15">
      <c r="A83" t="s">
        <v>67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80</v>
      </c>
      <c r="F83" s="2" t="s">
        <v>25</v>
      </c>
      <c r="G83" t="s">
        <v>22</v>
      </c>
      <c r="H83" t="s">
        <v>19</v>
      </c>
      <c r="I83" t="s">
        <v>17</v>
      </c>
      <c r="J83" t="s">
        <v>21</v>
      </c>
    </row>
    <row r="84" spans="1:15">
      <c r="A84" t="s">
        <v>67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80</v>
      </c>
      <c r="F84" s="2" t="s">
        <v>23</v>
      </c>
      <c r="G84" t="s">
        <v>19</v>
      </c>
      <c r="H84" t="s">
        <v>26</v>
      </c>
      <c r="I84" t="s">
        <v>25</v>
      </c>
      <c r="J84" t="s">
        <v>21</v>
      </c>
    </row>
    <row r="85" spans="1:15">
      <c r="A85" t="s">
        <v>67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80</v>
      </c>
      <c r="F85" s="2" t="s">
        <v>19</v>
      </c>
      <c r="G85" t="s">
        <v>24</v>
      </c>
      <c r="H85" t="s">
        <v>26</v>
      </c>
      <c r="I85" t="s">
        <v>20</v>
      </c>
      <c r="J85" t="s">
        <v>18</v>
      </c>
    </row>
    <row r="86" spans="1:15">
      <c r="A86" t="s">
        <v>68</v>
      </c>
      <c r="B86">
        <f>1/20.9</f>
        <v>4.784688995215311E-2</v>
      </c>
      <c r="C86">
        <f>1/20.9</f>
        <v>4.784688995215311E-2</v>
      </c>
      <c r="D86">
        <v>1.7</v>
      </c>
      <c r="E86" t="s">
        <v>80</v>
      </c>
      <c r="F86" s="2" t="s">
        <v>26</v>
      </c>
      <c r="G86" t="s">
        <v>17</v>
      </c>
      <c r="H86" t="s">
        <v>24</v>
      </c>
      <c r="I86" t="s">
        <v>19</v>
      </c>
      <c r="J86" t="s">
        <v>23</v>
      </c>
      <c r="K86" s="2" t="s">
        <v>26</v>
      </c>
      <c r="L86" t="s">
        <v>17</v>
      </c>
      <c r="M86" t="s">
        <v>24</v>
      </c>
      <c r="N86" t="s">
        <v>19</v>
      </c>
      <c r="O86" t="s">
        <v>23</v>
      </c>
    </row>
    <row r="87" spans="1:15">
      <c r="A87" t="s">
        <v>68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80</v>
      </c>
      <c r="F87" s="2" t="s">
        <v>19</v>
      </c>
      <c r="G87" t="s">
        <v>20</v>
      </c>
      <c r="H87" t="s">
        <v>21</v>
      </c>
      <c r="I87" t="s">
        <v>18</v>
      </c>
      <c r="J87" t="s">
        <v>25</v>
      </c>
      <c r="K87" s="2" t="s">
        <v>19</v>
      </c>
      <c r="L87" t="s">
        <v>20</v>
      </c>
      <c r="M87" t="s">
        <v>21</v>
      </c>
      <c r="N87" t="s">
        <v>18</v>
      </c>
      <c r="O87" t="s">
        <v>25</v>
      </c>
    </row>
    <row r="88" spans="1:15">
      <c r="A88" t="s">
        <v>68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80</v>
      </c>
      <c r="F88" s="2" t="s">
        <v>17</v>
      </c>
      <c r="G88" t="s">
        <v>25</v>
      </c>
      <c r="H88" t="s">
        <v>23</v>
      </c>
      <c r="I88" t="s">
        <v>24</v>
      </c>
      <c r="J88" t="s">
        <v>18</v>
      </c>
      <c r="K88" s="2" t="s">
        <v>17</v>
      </c>
      <c r="L88" t="s">
        <v>25</v>
      </c>
      <c r="M88" t="s">
        <v>23</v>
      </c>
      <c r="N88" t="s">
        <v>24</v>
      </c>
      <c r="O88" t="s">
        <v>18</v>
      </c>
    </row>
    <row r="89" spans="1:15">
      <c r="A89" t="s">
        <v>68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80</v>
      </c>
      <c r="F89" s="2" t="s">
        <v>22</v>
      </c>
      <c r="G89" t="s">
        <v>21</v>
      </c>
      <c r="H89" t="s">
        <v>18</v>
      </c>
      <c r="I89" t="s">
        <v>26</v>
      </c>
      <c r="J89" t="s">
        <v>17</v>
      </c>
      <c r="K89" s="2" t="s">
        <v>22</v>
      </c>
      <c r="L89" t="s">
        <v>21</v>
      </c>
      <c r="M89" t="s">
        <v>18</v>
      </c>
      <c r="N89" t="s">
        <v>26</v>
      </c>
      <c r="O89" t="s">
        <v>17</v>
      </c>
    </row>
    <row r="90" spans="1:15">
      <c r="A90" t="s">
        <v>68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80</v>
      </c>
      <c r="F90" s="2" t="s">
        <v>17</v>
      </c>
      <c r="G90" t="s">
        <v>21</v>
      </c>
      <c r="H90" t="s">
        <v>22</v>
      </c>
      <c r="I90" t="s">
        <v>26</v>
      </c>
      <c r="J90" t="s">
        <v>24</v>
      </c>
      <c r="K90" s="2"/>
      <c r="M90" t="s">
        <v>22</v>
      </c>
      <c r="N90" t="s">
        <v>26</v>
      </c>
      <c r="O90" t="s">
        <v>24</v>
      </c>
    </row>
    <row r="91" spans="1:15">
      <c r="A91" t="s">
        <v>68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80</v>
      </c>
      <c r="F91" s="2" t="s">
        <v>18</v>
      </c>
      <c r="G91" t="s">
        <v>24</v>
      </c>
      <c r="H91" t="s">
        <v>26</v>
      </c>
      <c r="I91" t="s">
        <v>25</v>
      </c>
      <c r="J91" t="s">
        <v>17</v>
      </c>
      <c r="K91" s="2" t="s">
        <v>18</v>
      </c>
      <c r="M91" t="s">
        <v>26</v>
      </c>
    </row>
    <row r="92" spans="1:15">
      <c r="A92" t="s">
        <v>68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80</v>
      </c>
      <c r="F92" s="2" t="s">
        <v>19</v>
      </c>
      <c r="G92" t="s">
        <v>22</v>
      </c>
      <c r="H92" t="s">
        <v>25</v>
      </c>
      <c r="I92" t="s">
        <v>17</v>
      </c>
      <c r="J92" t="s">
        <v>24</v>
      </c>
    </row>
    <row r="93" spans="1:15">
      <c r="A93" t="s">
        <v>68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80</v>
      </c>
      <c r="F93" s="2" t="s">
        <v>20</v>
      </c>
      <c r="G93" t="s">
        <v>24</v>
      </c>
      <c r="H93" t="s">
        <v>23</v>
      </c>
      <c r="I93" t="s">
        <v>25</v>
      </c>
      <c r="J93" t="s">
        <v>17</v>
      </c>
    </row>
    <row r="94" spans="1:15">
      <c r="A94" t="s">
        <v>68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80</v>
      </c>
      <c r="F94" s="2" t="s">
        <v>18</v>
      </c>
      <c r="G94" t="s">
        <v>17</v>
      </c>
      <c r="H94" t="s">
        <v>25</v>
      </c>
      <c r="I94" t="s">
        <v>22</v>
      </c>
      <c r="J94" t="s">
        <v>19</v>
      </c>
    </row>
    <row r="95" spans="1:15">
      <c r="A95" t="s">
        <v>68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80</v>
      </c>
      <c r="F95" s="2" t="s">
        <v>19</v>
      </c>
      <c r="G95" t="s">
        <v>25</v>
      </c>
      <c r="H95" t="s">
        <v>17</v>
      </c>
      <c r="I95" t="s">
        <v>22</v>
      </c>
      <c r="J95" t="s">
        <v>23</v>
      </c>
    </row>
    <row r="96" spans="1:15">
      <c r="A96" t="s">
        <v>68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80</v>
      </c>
      <c r="F96" s="2" t="s">
        <v>20</v>
      </c>
      <c r="G96" t="s">
        <v>21</v>
      </c>
      <c r="H96" t="s">
        <v>19</v>
      </c>
      <c r="I96" t="s">
        <v>23</v>
      </c>
      <c r="J96" t="s">
        <v>24</v>
      </c>
    </row>
    <row r="97" spans="1:15">
      <c r="A97" t="s">
        <v>68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80</v>
      </c>
      <c r="F97" s="2" t="s">
        <v>19</v>
      </c>
      <c r="G97" t="s">
        <v>22</v>
      </c>
      <c r="H97" t="s">
        <v>25</v>
      </c>
      <c r="I97" t="s">
        <v>18</v>
      </c>
      <c r="J97" t="s">
        <v>26</v>
      </c>
    </row>
    <row r="98" spans="1:15">
      <c r="A98" t="s">
        <v>68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80</v>
      </c>
      <c r="F98" s="2" t="s">
        <v>18</v>
      </c>
      <c r="G98" t="s">
        <v>21</v>
      </c>
      <c r="H98" t="s">
        <v>23</v>
      </c>
      <c r="I98" t="s">
        <v>22</v>
      </c>
      <c r="J98" t="s">
        <v>20</v>
      </c>
    </row>
    <row r="99" spans="1:15">
      <c r="A99" t="s">
        <v>68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80</v>
      </c>
      <c r="F99" s="2" t="s">
        <v>18</v>
      </c>
      <c r="G99" t="s">
        <v>25</v>
      </c>
      <c r="H99" t="s">
        <v>21</v>
      </c>
      <c r="I99" t="s">
        <v>20</v>
      </c>
      <c r="J99" t="s">
        <v>23</v>
      </c>
    </row>
    <row r="100" spans="1:15">
      <c r="A100" t="s">
        <v>68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80</v>
      </c>
      <c r="F100" s="2" t="s">
        <v>26</v>
      </c>
      <c r="G100" t="s">
        <v>22</v>
      </c>
      <c r="H100" t="s">
        <v>17</v>
      </c>
      <c r="I100" t="s">
        <v>25</v>
      </c>
      <c r="J100" t="s">
        <v>24</v>
      </c>
    </row>
    <row r="101" spans="1:15">
      <c r="A101" t="s">
        <v>68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80</v>
      </c>
      <c r="F101" s="2" t="s">
        <v>25</v>
      </c>
      <c r="G101" t="s">
        <v>22</v>
      </c>
      <c r="H101" t="s">
        <v>19</v>
      </c>
      <c r="I101" t="s">
        <v>17</v>
      </c>
      <c r="J101" t="s">
        <v>20</v>
      </c>
    </row>
    <row r="102" spans="1:15">
      <c r="A102" t="s">
        <v>68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80</v>
      </c>
      <c r="F102" s="2" t="s">
        <v>18</v>
      </c>
      <c r="G102" t="s">
        <v>24</v>
      </c>
      <c r="H102" t="s">
        <v>22</v>
      </c>
      <c r="I102" t="s">
        <v>17</v>
      </c>
      <c r="J102" t="s">
        <v>19</v>
      </c>
    </row>
    <row r="103" spans="1:15">
      <c r="A103" t="s">
        <v>68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80</v>
      </c>
      <c r="F103" s="2" t="s">
        <v>17</v>
      </c>
      <c r="G103" t="s">
        <v>23</v>
      </c>
      <c r="H103" t="s">
        <v>24</v>
      </c>
      <c r="I103" t="s">
        <v>20</v>
      </c>
      <c r="J103" t="s">
        <v>18</v>
      </c>
    </row>
    <row r="104" spans="1:15">
      <c r="A104" t="s">
        <v>68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80</v>
      </c>
      <c r="F104" s="2" t="s">
        <v>25</v>
      </c>
      <c r="G104" t="s">
        <v>26</v>
      </c>
      <c r="H104" t="s">
        <v>21</v>
      </c>
      <c r="I104" t="s">
        <v>19</v>
      </c>
      <c r="J104" t="s">
        <v>18</v>
      </c>
    </row>
    <row r="105" spans="1:15">
      <c r="A105" t="s">
        <v>68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80</v>
      </c>
      <c r="F105" s="2" t="s">
        <v>17</v>
      </c>
      <c r="G105" t="s">
        <v>20</v>
      </c>
      <c r="H105" t="s">
        <v>26</v>
      </c>
      <c r="I105" t="s">
        <v>19</v>
      </c>
      <c r="J105" t="s">
        <v>23</v>
      </c>
    </row>
    <row r="106" spans="1:15">
      <c r="A106" t="s">
        <v>68</v>
      </c>
      <c r="B106">
        <f>1/20.9</f>
        <v>4.784688995215311E-2</v>
      </c>
      <c r="C106">
        <f>1/20.9</f>
        <v>4.784688995215311E-2</v>
      </c>
      <c r="D106">
        <v>-0.3</v>
      </c>
      <c r="E106" t="s">
        <v>80</v>
      </c>
      <c r="F106" s="2" t="s">
        <v>26</v>
      </c>
      <c r="G106" t="s">
        <v>23</v>
      </c>
      <c r="H106" t="s">
        <v>17</v>
      </c>
      <c r="I106" t="s">
        <v>25</v>
      </c>
      <c r="J106" t="s">
        <v>21</v>
      </c>
    </row>
    <row r="107" spans="1:15">
      <c r="A107" t="s">
        <v>69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80</v>
      </c>
      <c r="F107" s="2" t="s">
        <v>19</v>
      </c>
      <c r="G107" t="s">
        <v>24</v>
      </c>
      <c r="H107" t="s">
        <v>25</v>
      </c>
      <c r="I107" t="s">
        <v>21</v>
      </c>
      <c r="J107" t="s">
        <v>18</v>
      </c>
      <c r="K107" s="2" t="s">
        <v>19</v>
      </c>
      <c r="L107" t="s">
        <v>24</v>
      </c>
      <c r="O107" t="s">
        <v>18</v>
      </c>
    </row>
    <row r="108" spans="1:15">
      <c r="A108" t="s">
        <v>69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80</v>
      </c>
      <c r="F108" s="2" t="s">
        <v>26</v>
      </c>
      <c r="G108" t="s">
        <v>17</v>
      </c>
      <c r="H108" t="s">
        <v>25</v>
      </c>
      <c r="I108" t="s">
        <v>20</v>
      </c>
      <c r="J108" t="s">
        <v>18</v>
      </c>
    </row>
    <row r="109" spans="1:15">
      <c r="A109" t="s">
        <v>69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80</v>
      </c>
      <c r="F109" s="2" t="s">
        <v>25</v>
      </c>
      <c r="G109" t="s">
        <v>18</v>
      </c>
      <c r="H109" t="s">
        <v>17</v>
      </c>
      <c r="I109" t="s">
        <v>22</v>
      </c>
      <c r="J109" t="s">
        <v>26</v>
      </c>
    </row>
    <row r="110" spans="1:15">
      <c r="A110" t="s">
        <v>69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80</v>
      </c>
      <c r="F110" s="2" t="s">
        <v>25</v>
      </c>
      <c r="G110" t="s">
        <v>17</v>
      </c>
      <c r="H110" t="s">
        <v>21</v>
      </c>
      <c r="I110" t="s">
        <v>22</v>
      </c>
      <c r="J110" t="s">
        <v>19</v>
      </c>
    </row>
    <row r="111" spans="1:15">
      <c r="A111" t="s">
        <v>69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80</v>
      </c>
      <c r="F111" s="2" t="s">
        <v>21</v>
      </c>
      <c r="G111" t="s">
        <v>18</v>
      </c>
      <c r="H111" t="s">
        <v>23</v>
      </c>
      <c r="I111" t="s">
        <v>26</v>
      </c>
      <c r="J111" t="s">
        <v>20</v>
      </c>
    </row>
    <row r="112" spans="1:15">
      <c r="A112" t="s">
        <v>69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80</v>
      </c>
      <c r="F112" s="2" t="s">
        <v>22</v>
      </c>
      <c r="G112" t="s">
        <v>18</v>
      </c>
      <c r="H112" t="s">
        <v>24</v>
      </c>
      <c r="I112" t="s">
        <v>20</v>
      </c>
      <c r="J112" t="s">
        <v>17</v>
      </c>
    </row>
    <row r="113" spans="1:15">
      <c r="A113" t="s">
        <v>69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80</v>
      </c>
      <c r="F113" s="2" t="s">
        <v>17</v>
      </c>
      <c r="G113" t="s">
        <v>18</v>
      </c>
      <c r="H113" t="s">
        <v>23</v>
      </c>
      <c r="I113" t="s">
        <v>22</v>
      </c>
      <c r="J113" t="s">
        <v>26</v>
      </c>
    </row>
    <row r="114" spans="1:15">
      <c r="A114" t="s">
        <v>69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80</v>
      </c>
      <c r="F114" s="2" t="s">
        <v>22</v>
      </c>
      <c r="G114" t="s">
        <v>17</v>
      </c>
      <c r="H114" t="s">
        <v>18</v>
      </c>
      <c r="I114" t="s">
        <v>26</v>
      </c>
      <c r="J114" t="s">
        <v>20</v>
      </c>
    </row>
    <row r="115" spans="1:15">
      <c r="A115" t="s">
        <v>69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80</v>
      </c>
      <c r="F115" s="2" t="s">
        <v>25</v>
      </c>
      <c r="G115" t="s">
        <v>17</v>
      </c>
      <c r="H115" t="s">
        <v>23</v>
      </c>
      <c r="I115" t="s">
        <v>21</v>
      </c>
      <c r="J115" t="s">
        <v>24</v>
      </c>
    </row>
    <row r="116" spans="1:15">
      <c r="A116" t="s">
        <v>69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80</v>
      </c>
      <c r="F116" s="2" t="s">
        <v>21</v>
      </c>
      <c r="G116" t="s">
        <v>26</v>
      </c>
      <c r="H116" t="s">
        <v>17</v>
      </c>
      <c r="I116" t="s">
        <v>18</v>
      </c>
      <c r="J116" t="s">
        <v>20</v>
      </c>
    </row>
    <row r="117" spans="1:15">
      <c r="A117" t="s">
        <v>69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80</v>
      </c>
      <c r="F117" s="2" t="s">
        <v>18</v>
      </c>
      <c r="G117" t="s">
        <v>21</v>
      </c>
      <c r="H117" t="s">
        <v>23</v>
      </c>
      <c r="I117" t="s">
        <v>26</v>
      </c>
      <c r="J117" t="s">
        <v>20</v>
      </c>
    </row>
    <row r="118" spans="1:15">
      <c r="A118" t="s">
        <v>69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80</v>
      </c>
      <c r="F118" s="2" t="s">
        <v>17</v>
      </c>
      <c r="G118" t="s">
        <v>22</v>
      </c>
      <c r="H118" t="s">
        <v>26</v>
      </c>
      <c r="I118" t="s">
        <v>19</v>
      </c>
      <c r="J118" t="s">
        <v>23</v>
      </c>
    </row>
    <row r="119" spans="1:15">
      <c r="A119" t="s">
        <v>69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80</v>
      </c>
      <c r="F119" s="2" t="s">
        <v>22</v>
      </c>
      <c r="G119" t="s">
        <v>24</v>
      </c>
      <c r="H119" t="s">
        <v>25</v>
      </c>
      <c r="I119" t="s">
        <v>20</v>
      </c>
      <c r="J119" t="s">
        <v>26</v>
      </c>
    </row>
    <row r="120" spans="1:15">
      <c r="A120" t="s">
        <v>69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80</v>
      </c>
      <c r="F120" s="2" t="s">
        <v>20</v>
      </c>
      <c r="G120" t="s">
        <v>26</v>
      </c>
      <c r="H120" t="s">
        <v>17</v>
      </c>
      <c r="I120" t="s">
        <v>18</v>
      </c>
      <c r="J120" t="s">
        <v>21</v>
      </c>
    </row>
    <row r="121" spans="1:15">
      <c r="A121" t="s">
        <v>69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80</v>
      </c>
      <c r="F121" s="2" t="s">
        <v>21</v>
      </c>
      <c r="G121" t="s">
        <v>19</v>
      </c>
      <c r="H121" t="s">
        <v>25</v>
      </c>
      <c r="I121" t="s">
        <v>23</v>
      </c>
      <c r="J121" t="s">
        <v>26</v>
      </c>
    </row>
    <row r="122" spans="1:15">
      <c r="A122" t="s">
        <v>69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80</v>
      </c>
      <c r="F122" s="2" t="s">
        <v>22</v>
      </c>
      <c r="G122" t="s">
        <v>23</v>
      </c>
      <c r="H122" t="s">
        <v>20</v>
      </c>
      <c r="I122" t="s">
        <v>21</v>
      </c>
      <c r="J122" t="s">
        <v>26</v>
      </c>
    </row>
    <row r="123" spans="1:15">
      <c r="A123" t="s">
        <v>69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80</v>
      </c>
      <c r="F123" s="2" t="s">
        <v>22</v>
      </c>
      <c r="G123" t="s">
        <v>18</v>
      </c>
      <c r="H123" t="s">
        <v>20</v>
      </c>
      <c r="I123" t="s">
        <v>26</v>
      </c>
      <c r="J123" t="s">
        <v>23</v>
      </c>
    </row>
    <row r="124" spans="1:15">
      <c r="A124" t="s">
        <v>69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80</v>
      </c>
      <c r="F124" s="2" t="s">
        <v>23</v>
      </c>
      <c r="G124" t="s">
        <v>20</v>
      </c>
      <c r="H124" t="s">
        <v>17</v>
      </c>
      <c r="I124" t="s">
        <v>19</v>
      </c>
      <c r="J124" t="s">
        <v>22</v>
      </c>
    </row>
    <row r="125" spans="1:15">
      <c r="A125" t="s">
        <v>69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80</v>
      </c>
      <c r="F125" s="2" t="s">
        <v>21</v>
      </c>
      <c r="G125" t="s">
        <v>17</v>
      </c>
      <c r="H125" t="s">
        <v>25</v>
      </c>
      <c r="I125" t="s">
        <v>18</v>
      </c>
      <c r="J125" t="s">
        <v>26</v>
      </c>
    </row>
    <row r="126" spans="1:15">
      <c r="A126" t="s">
        <v>69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80</v>
      </c>
      <c r="F126" s="2" t="s">
        <v>24</v>
      </c>
      <c r="G126" t="s">
        <v>20</v>
      </c>
      <c r="H126" t="s">
        <v>17</v>
      </c>
      <c r="I126" t="s">
        <v>26</v>
      </c>
      <c r="J126" t="s">
        <v>23</v>
      </c>
    </row>
    <row r="127" spans="1:15">
      <c r="A127" t="s">
        <v>69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80</v>
      </c>
      <c r="F127" s="2" t="s">
        <v>18</v>
      </c>
      <c r="G127" t="s">
        <v>19</v>
      </c>
      <c r="H127" t="s">
        <v>25</v>
      </c>
      <c r="I127" t="s">
        <v>17</v>
      </c>
      <c r="J127" t="s">
        <v>21</v>
      </c>
    </row>
    <row r="128" spans="1:15">
      <c r="A128" t="s">
        <v>70</v>
      </c>
      <c r="B128">
        <f>1/4</f>
        <v>0.25</v>
      </c>
      <c r="C128">
        <v>1</v>
      </c>
      <c r="D128">
        <v>1.7</v>
      </c>
      <c r="E128" t="s">
        <v>80</v>
      </c>
      <c r="F128" t="s">
        <v>22</v>
      </c>
      <c r="G128" t="s">
        <v>19</v>
      </c>
      <c r="H128" t="s">
        <v>25</v>
      </c>
      <c r="I128" t="s">
        <v>26</v>
      </c>
      <c r="J128" t="s">
        <v>23</v>
      </c>
      <c r="K128" t="s">
        <v>22</v>
      </c>
      <c r="L128" t="s">
        <v>19</v>
      </c>
      <c r="M128" t="s">
        <v>25</v>
      </c>
      <c r="N128" t="s">
        <v>26</v>
      </c>
      <c r="O128" t="s">
        <v>23</v>
      </c>
    </row>
    <row r="129" spans="1:15">
      <c r="A129" t="s">
        <v>70</v>
      </c>
      <c r="B129">
        <f t="shared" ref="B129:B148" si="5">1/4</f>
        <v>0.25</v>
      </c>
      <c r="C129">
        <v>1</v>
      </c>
      <c r="D129">
        <v>1.6</v>
      </c>
      <c r="E129" t="s">
        <v>80</v>
      </c>
      <c r="F129" t="s">
        <v>21</v>
      </c>
      <c r="G129" t="s">
        <v>24</v>
      </c>
      <c r="H129" t="s">
        <v>17</v>
      </c>
      <c r="I129" t="s">
        <v>22</v>
      </c>
      <c r="J129" t="s">
        <v>18</v>
      </c>
      <c r="K129" t="s">
        <v>21</v>
      </c>
      <c r="L129" t="s">
        <v>24</v>
      </c>
      <c r="M129" t="s">
        <v>17</v>
      </c>
      <c r="N129" t="s">
        <v>22</v>
      </c>
      <c r="O129" t="s">
        <v>18</v>
      </c>
    </row>
    <row r="130" spans="1:15">
      <c r="A130" t="s">
        <v>70</v>
      </c>
      <c r="B130">
        <f t="shared" si="5"/>
        <v>0.25</v>
      </c>
      <c r="C130">
        <v>1</v>
      </c>
      <c r="D130">
        <v>1.5</v>
      </c>
      <c r="E130" t="s">
        <v>80</v>
      </c>
      <c r="F130" t="s">
        <v>26</v>
      </c>
      <c r="G130" t="s">
        <v>20</v>
      </c>
      <c r="H130" t="s">
        <v>23</v>
      </c>
      <c r="I130" t="s">
        <v>21</v>
      </c>
      <c r="J130" t="s">
        <v>22</v>
      </c>
      <c r="K130" t="s">
        <v>26</v>
      </c>
      <c r="L130" t="s">
        <v>20</v>
      </c>
      <c r="M130" t="s">
        <v>23</v>
      </c>
      <c r="N130" t="s">
        <v>21</v>
      </c>
      <c r="O130" t="s">
        <v>22</v>
      </c>
    </row>
    <row r="131" spans="1:15">
      <c r="A131" t="s">
        <v>70</v>
      </c>
      <c r="B131">
        <f t="shared" si="5"/>
        <v>0.25</v>
      </c>
      <c r="C131">
        <v>1</v>
      </c>
      <c r="D131">
        <v>1.4</v>
      </c>
      <c r="E131" t="s">
        <v>80</v>
      </c>
      <c r="F131" t="s">
        <v>18</v>
      </c>
      <c r="G131" t="s">
        <v>21</v>
      </c>
      <c r="H131" t="s">
        <v>23</v>
      </c>
      <c r="I131" t="s">
        <v>20</v>
      </c>
      <c r="J131" t="s">
        <v>26</v>
      </c>
      <c r="K131" t="s">
        <v>18</v>
      </c>
      <c r="L131" t="s">
        <v>21</v>
      </c>
      <c r="M131" t="s">
        <v>23</v>
      </c>
      <c r="N131" t="s">
        <v>20</v>
      </c>
      <c r="O131" t="s">
        <v>26</v>
      </c>
    </row>
    <row r="132" spans="1:15">
      <c r="A132" t="s">
        <v>70</v>
      </c>
      <c r="B132">
        <f t="shared" si="5"/>
        <v>0.25</v>
      </c>
      <c r="C132">
        <v>1</v>
      </c>
      <c r="D132">
        <v>1.3</v>
      </c>
      <c r="E132" t="s">
        <v>80</v>
      </c>
      <c r="F132" t="s">
        <v>23</v>
      </c>
      <c r="G132" t="s">
        <v>25</v>
      </c>
      <c r="H132" t="s">
        <v>17</v>
      </c>
      <c r="I132" t="s">
        <v>22</v>
      </c>
      <c r="J132" t="s">
        <v>21</v>
      </c>
      <c r="K132" t="s">
        <v>23</v>
      </c>
      <c r="L132" t="s">
        <v>25</v>
      </c>
      <c r="M132" t="s">
        <v>17</v>
      </c>
      <c r="N132" t="s">
        <v>22</v>
      </c>
      <c r="O132" t="s">
        <v>21</v>
      </c>
    </row>
    <row r="133" spans="1:15">
      <c r="A133" t="s">
        <v>70</v>
      </c>
      <c r="B133">
        <f t="shared" si="5"/>
        <v>0.25</v>
      </c>
      <c r="C133">
        <v>1</v>
      </c>
      <c r="D133">
        <v>1.2</v>
      </c>
      <c r="E133" t="s">
        <v>80</v>
      </c>
      <c r="F133" t="s">
        <v>18</v>
      </c>
      <c r="G133" t="s">
        <v>25</v>
      </c>
      <c r="H133" t="s">
        <v>26</v>
      </c>
      <c r="I133" t="s">
        <v>17</v>
      </c>
      <c r="J133" t="s">
        <v>24</v>
      </c>
      <c r="K133" t="s">
        <v>18</v>
      </c>
      <c r="L133" t="s">
        <v>25</v>
      </c>
      <c r="M133" t="s">
        <v>26</v>
      </c>
      <c r="N133" t="s">
        <v>17</v>
      </c>
      <c r="O133" t="s">
        <v>24</v>
      </c>
    </row>
    <row r="134" spans="1:15">
      <c r="A134" t="s">
        <v>70</v>
      </c>
      <c r="B134">
        <f t="shared" si="5"/>
        <v>0.25</v>
      </c>
      <c r="C134">
        <v>1</v>
      </c>
      <c r="D134">
        <v>1.1000000000000001</v>
      </c>
      <c r="E134" t="s">
        <v>80</v>
      </c>
      <c r="F134" t="s">
        <v>23</v>
      </c>
      <c r="G134" t="s">
        <v>20</v>
      </c>
      <c r="H134" t="s">
        <v>22</v>
      </c>
      <c r="I134" t="s">
        <v>19</v>
      </c>
      <c r="J134" t="s">
        <v>26</v>
      </c>
      <c r="K134" t="s">
        <v>23</v>
      </c>
      <c r="L134" t="s">
        <v>20</v>
      </c>
      <c r="M134" t="s">
        <v>22</v>
      </c>
      <c r="N134" t="s">
        <v>19</v>
      </c>
      <c r="O134" t="s">
        <v>26</v>
      </c>
    </row>
    <row r="135" spans="1:15">
      <c r="A135" t="s">
        <v>70</v>
      </c>
      <c r="B135">
        <f t="shared" si="5"/>
        <v>0.25</v>
      </c>
      <c r="C135">
        <v>1</v>
      </c>
      <c r="D135">
        <v>1</v>
      </c>
      <c r="E135" t="s">
        <v>80</v>
      </c>
      <c r="F135" t="s">
        <v>24</v>
      </c>
      <c r="G135" t="s">
        <v>23</v>
      </c>
      <c r="H135" t="s">
        <v>19</v>
      </c>
      <c r="I135" t="s">
        <v>20</v>
      </c>
      <c r="J135" t="s">
        <v>18</v>
      </c>
      <c r="K135" t="s">
        <v>24</v>
      </c>
      <c r="L135" t="s">
        <v>23</v>
      </c>
      <c r="M135" t="s">
        <v>19</v>
      </c>
      <c r="N135" t="s">
        <v>20</v>
      </c>
      <c r="O135" t="s">
        <v>18</v>
      </c>
    </row>
    <row r="136" spans="1:15">
      <c r="A136" t="s">
        <v>70</v>
      </c>
      <c r="B136">
        <f t="shared" si="5"/>
        <v>0.25</v>
      </c>
      <c r="C136">
        <v>1</v>
      </c>
      <c r="D136">
        <v>0.90000000000000102</v>
      </c>
      <c r="E136" t="s">
        <v>80</v>
      </c>
      <c r="F136" t="s">
        <v>25</v>
      </c>
      <c r="G136" t="s">
        <v>26</v>
      </c>
      <c r="H136" t="s">
        <v>20</v>
      </c>
      <c r="I136" t="s">
        <v>24</v>
      </c>
      <c r="J136" t="s">
        <v>17</v>
      </c>
      <c r="K136" t="s">
        <v>25</v>
      </c>
      <c r="L136" t="s">
        <v>26</v>
      </c>
      <c r="M136" t="s">
        <v>20</v>
      </c>
      <c r="N136" t="s">
        <v>24</v>
      </c>
      <c r="O136" t="s">
        <v>17</v>
      </c>
    </row>
    <row r="137" spans="1:15">
      <c r="A137" t="s">
        <v>70</v>
      </c>
      <c r="B137">
        <f t="shared" si="5"/>
        <v>0.25</v>
      </c>
      <c r="C137">
        <v>1</v>
      </c>
      <c r="D137">
        <v>0.80000000000000104</v>
      </c>
      <c r="E137" t="s">
        <v>80</v>
      </c>
      <c r="F137" t="s">
        <v>24</v>
      </c>
      <c r="G137" t="s">
        <v>25</v>
      </c>
      <c r="H137" t="s">
        <v>19</v>
      </c>
      <c r="I137" t="s">
        <v>22</v>
      </c>
      <c r="J137" t="s">
        <v>17</v>
      </c>
      <c r="K137" t="s">
        <v>24</v>
      </c>
      <c r="L137" t="s">
        <v>25</v>
      </c>
      <c r="M137" t="s">
        <v>19</v>
      </c>
      <c r="N137" t="s">
        <v>22</v>
      </c>
      <c r="O137" t="s">
        <v>17</v>
      </c>
    </row>
    <row r="138" spans="1:15">
      <c r="A138" t="s">
        <v>70</v>
      </c>
      <c r="B138">
        <f t="shared" si="5"/>
        <v>0.25</v>
      </c>
      <c r="C138">
        <v>1</v>
      </c>
      <c r="D138">
        <v>0.70000000000000095</v>
      </c>
      <c r="E138" t="s">
        <v>80</v>
      </c>
      <c r="F138" t="s">
        <v>18</v>
      </c>
      <c r="G138" t="s">
        <v>25</v>
      </c>
      <c r="H138" t="s">
        <v>17</v>
      </c>
      <c r="I138" t="s">
        <v>19</v>
      </c>
      <c r="J138" t="s">
        <v>21</v>
      </c>
      <c r="K138" t="s">
        <v>18</v>
      </c>
      <c r="L138" t="s">
        <v>25</v>
      </c>
      <c r="M138" t="s">
        <v>17</v>
      </c>
      <c r="N138" t="s">
        <v>19</v>
      </c>
      <c r="O138" t="s">
        <v>21</v>
      </c>
    </row>
    <row r="139" spans="1:15">
      <c r="A139" t="s">
        <v>70</v>
      </c>
      <c r="B139">
        <f t="shared" si="5"/>
        <v>0.25</v>
      </c>
      <c r="C139">
        <v>1</v>
      </c>
      <c r="D139">
        <v>0.6</v>
      </c>
      <c r="E139" t="s">
        <v>80</v>
      </c>
      <c r="F139" t="s">
        <v>24</v>
      </c>
      <c r="G139" t="s">
        <v>21</v>
      </c>
      <c r="H139" t="s">
        <v>23</v>
      </c>
      <c r="I139" t="s">
        <v>26</v>
      </c>
      <c r="J139" t="s">
        <v>25</v>
      </c>
      <c r="K139" t="s">
        <v>24</v>
      </c>
      <c r="L139" t="s">
        <v>21</v>
      </c>
      <c r="M139" t="s">
        <v>23</v>
      </c>
      <c r="N139" t="s">
        <v>26</v>
      </c>
      <c r="O139" t="s">
        <v>25</v>
      </c>
    </row>
    <row r="140" spans="1:15">
      <c r="A140" t="s">
        <v>70</v>
      </c>
      <c r="B140">
        <f t="shared" si="5"/>
        <v>0.25</v>
      </c>
      <c r="C140">
        <v>1</v>
      </c>
      <c r="D140">
        <v>0.5</v>
      </c>
      <c r="E140" t="s">
        <v>80</v>
      </c>
      <c r="F140" t="s">
        <v>25</v>
      </c>
      <c r="G140" t="s">
        <v>26</v>
      </c>
      <c r="H140" t="s">
        <v>21</v>
      </c>
      <c r="I140" t="s">
        <v>23</v>
      </c>
      <c r="J140" t="s">
        <v>19</v>
      </c>
      <c r="K140" t="s">
        <v>25</v>
      </c>
      <c r="L140" t="s">
        <v>26</v>
      </c>
      <c r="M140" t="s">
        <v>21</v>
      </c>
      <c r="N140" t="s">
        <v>23</v>
      </c>
      <c r="O140" t="s">
        <v>19</v>
      </c>
    </row>
    <row r="141" spans="1:15">
      <c r="A141" t="s">
        <v>70</v>
      </c>
      <c r="B141">
        <f t="shared" si="5"/>
        <v>0.25</v>
      </c>
      <c r="C141">
        <v>1</v>
      </c>
      <c r="D141">
        <v>0.4</v>
      </c>
      <c r="E141" t="s">
        <v>80</v>
      </c>
      <c r="F141" t="s">
        <v>26</v>
      </c>
      <c r="G141" t="s">
        <v>18</v>
      </c>
      <c r="H141" t="s">
        <v>17</v>
      </c>
      <c r="I141" t="s">
        <v>24</v>
      </c>
      <c r="J141" t="s">
        <v>19</v>
      </c>
      <c r="K141" t="s">
        <v>26</v>
      </c>
      <c r="L141" t="s">
        <v>18</v>
      </c>
      <c r="M141" t="s">
        <v>17</v>
      </c>
      <c r="N141" t="s">
        <v>24</v>
      </c>
      <c r="O141" t="s">
        <v>19</v>
      </c>
    </row>
    <row r="142" spans="1:15">
      <c r="A142" t="s">
        <v>70</v>
      </c>
      <c r="B142">
        <f t="shared" si="5"/>
        <v>0.25</v>
      </c>
      <c r="C142">
        <v>1</v>
      </c>
      <c r="D142">
        <v>0.3</v>
      </c>
      <c r="E142" t="s">
        <v>80</v>
      </c>
      <c r="F142" t="s">
        <v>17</v>
      </c>
      <c r="G142" t="s">
        <v>21</v>
      </c>
      <c r="H142" t="s">
        <v>23</v>
      </c>
      <c r="I142" t="s">
        <v>20</v>
      </c>
      <c r="J142" t="s">
        <v>18</v>
      </c>
      <c r="K142" t="s">
        <v>17</v>
      </c>
      <c r="M142" t="s">
        <v>23</v>
      </c>
      <c r="N142" t="s">
        <v>20</v>
      </c>
      <c r="O142" t="s">
        <v>18</v>
      </c>
    </row>
    <row r="143" spans="1:15">
      <c r="A143" t="s">
        <v>70</v>
      </c>
      <c r="B143">
        <f t="shared" si="5"/>
        <v>0.25</v>
      </c>
      <c r="C143">
        <v>1</v>
      </c>
      <c r="D143">
        <v>0.2</v>
      </c>
      <c r="E143" t="s">
        <v>80</v>
      </c>
      <c r="F143" t="s">
        <v>18</v>
      </c>
      <c r="G143" t="s">
        <v>19</v>
      </c>
      <c r="H143" t="s">
        <v>22</v>
      </c>
      <c r="I143" t="s">
        <v>26</v>
      </c>
      <c r="J143" t="s">
        <v>20</v>
      </c>
      <c r="K143" t="s">
        <v>18</v>
      </c>
      <c r="L143" t="s">
        <v>19</v>
      </c>
      <c r="M143" t="s">
        <v>22</v>
      </c>
      <c r="N143" t="s">
        <v>26</v>
      </c>
    </row>
    <row r="144" spans="1:15">
      <c r="A144" t="s">
        <v>70</v>
      </c>
      <c r="B144">
        <f t="shared" si="5"/>
        <v>0.25</v>
      </c>
      <c r="C144">
        <v>1</v>
      </c>
      <c r="D144">
        <v>9.9999999999999895E-2</v>
      </c>
      <c r="E144" t="s">
        <v>80</v>
      </c>
      <c r="F144" t="s">
        <v>17</v>
      </c>
      <c r="G144" t="s">
        <v>26</v>
      </c>
      <c r="H144" t="s">
        <v>20</v>
      </c>
      <c r="I144" t="s">
        <v>25</v>
      </c>
      <c r="J144" t="s">
        <v>19</v>
      </c>
    </row>
    <row r="145" spans="1:15">
      <c r="A145" t="s">
        <v>70</v>
      </c>
      <c r="B145">
        <f t="shared" si="5"/>
        <v>0.25</v>
      </c>
      <c r="C145">
        <v>1</v>
      </c>
      <c r="D145">
        <v>0</v>
      </c>
      <c r="E145" t="s">
        <v>80</v>
      </c>
      <c r="F145" t="s">
        <v>18</v>
      </c>
      <c r="G145" t="s">
        <v>22</v>
      </c>
      <c r="H145" t="s">
        <v>19</v>
      </c>
      <c r="I145" t="s">
        <v>26</v>
      </c>
      <c r="J145" t="s">
        <v>17</v>
      </c>
    </row>
    <row r="146" spans="1:15">
      <c r="A146" t="s">
        <v>70</v>
      </c>
      <c r="B146">
        <f t="shared" si="5"/>
        <v>0.25</v>
      </c>
      <c r="C146">
        <v>1</v>
      </c>
      <c r="D146">
        <v>-0.1</v>
      </c>
      <c r="E146" t="s">
        <v>80</v>
      </c>
      <c r="F146" t="s">
        <v>21</v>
      </c>
      <c r="G146" t="s">
        <v>26</v>
      </c>
      <c r="H146" t="s">
        <v>19</v>
      </c>
      <c r="I146" t="s">
        <v>24</v>
      </c>
      <c r="J146" t="s">
        <v>25</v>
      </c>
    </row>
    <row r="147" spans="1:15">
      <c r="A147" t="s">
        <v>70</v>
      </c>
      <c r="B147">
        <f t="shared" si="5"/>
        <v>0.25</v>
      </c>
      <c r="C147">
        <v>1</v>
      </c>
      <c r="D147">
        <v>-0.2</v>
      </c>
      <c r="E147" t="s">
        <v>80</v>
      </c>
      <c r="F147" t="s">
        <v>24</v>
      </c>
      <c r="G147" t="s">
        <v>22</v>
      </c>
      <c r="H147" t="s">
        <v>19</v>
      </c>
      <c r="I147" t="s">
        <v>23</v>
      </c>
      <c r="J147" t="s">
        <v>20</v>
      </c>
    </row>
    <row r="148" spans="1:15">
      <c r="A148" t="s">
        <v>70</v>
      </c>
      <c r="B148">
        <f t="shared" si="5"/>
        <v>0.25</v>
      </c>
      <c r="C148">
        <v>1</v>
      </c>
      <c r="D148">
        <v>-0.3</v>
      </c>
      <c r="E148" t="s">
        <v>80</v>
      </c>
      <c r="F148" t="s">
        <v>20</v>
      </c>
      <c r="G148" t="s">
        <v>26</v>
      </c>
      <c r="H148" t="s">
        <v>17</v>
      </c>
      <c r="I148" t="s">
        <v>23</v>
      </c>
      <c r="J148" t="s">
        <v>24</v>
      </c>
    </row>
    <row r="149" spans="1:15">
      <c r="A149" t="s">
        <v>71</v>
      </c>
      <c r="B149">
        <f>1/7.49</f>
        <v>0.13351134846461948</v>
      </c>
      <c r="C149">
        <f>4/7.49</f>
        <v>0.53404539385847793</v>
      </c>
      <c r="D149">
        <v>1.7</v>
      </c>
      <c r="E149" t="s">
        <v>80</v>
      </c>
      <c r="F149" t="s">
        <v>23</v>
      </c>
      <c r="G149" t="s">
        <v>21</v>
      </c>
      <c r="H149" t="s">
        <v>20</v>
      </c>
      <c r="I149" t="s">
        <v>17</v>
      </c>
      <c r="J149" t="s">
        <v>18</v>
      </c>
      <c r="K149" t="s">
        <v>23</v>
      </c>
      <c r="L149" t="s">
        <v>21</v>
      </c>
      <c r="M149" t="s">
        <v>20</v>
      </c>
      <c r="N149" t="s">
        <v>17</v>
      </c>
      <c r="O149" t="s">
        <v>18</v>
      </c>
    </row>
    <row r="150" spans="1:15">
      <c r="A150" t="s">
        <v>71</v>
      </c>
      <c r="B150">
        <f t="shared" ref="B150:B169" si="6">1/7.49</f>
        <v>0.13351134846461948</v>
      </c>
      <c r="C150">
        <f t="shared" ref="C150:C169" si="7">4/7.49</f>
        <v>0.53404539385847793</v>
      </c>
      <c r="D150">
        <v>1.6</v>
      </c>
      <c r="E150" t="s">
        <v>80</v>
      </c>
      <c r="F150" t="s">
        <v>24</v>
      </c>
      <c r="G150" t="s">
        <v>21</v>
      </c>
      <c r="H150" t="s">
        <v>25</v>
      </c>
      <c r="I150" t="s">
        <v>23</v>
      </c>
      <c r="J150" t="s">
        <v>26</v>
      </c>
      <c r="K150" t="s">
        <v>24</v>
      </c>
      <c r="L150" t="s">
        <v>21</v>
      </c>
      <c r="M150" t="s">
        <v>25</v>
      </c>
      <c r="N150" t="s">
        <v>23</v>
      </c>
      <c r="O150" t="s">
        <v>26</v>
      </c>
    </row>
    <row r="151" spans="1:15">
      <c r="A151" t="s">
        <v>71</v>
      </c>
      <c r="B151">
        <f t="shared" si="6"/>
        <v>0.13351134846461948</v>
      </c>
      <c r="C151">
        <f t="shared" si="7"/>
        <v>0.53404539385847793</v>
      </c>
      <c r="D151">
        <v>1.5</v>
      </c>
      <c r="E151" t="s">
        <v>80</v>
      </c>
      <c r="F151" t="s">
        <v>24</v>
      </c>
      <c r="G151" t="s">
        <v>22</v>
      </c>
      <c r="H151" t="s">
        <v>19</v>
      </c>
      <c r="I151" t="s">
        <v>23</v>
      </c>
      <c r="J151" t="s">
        <v>17</v>
      </c>
      <c r="K151" t="s">
        <v>24</v>
      </c>
      <c r="L151" t="s">
        <v>22</v>
      </c>
      <c r="M151" t="s">
        <v>19</v>
      </c>
      <c r="N151" t="s">
        <v>23</v>
      </c>
      <c r="O151" t="s">
        <v>17</v>
      </c>
    </row>
    <row r="152" spans="1:15">
      <c r="A152" t="s">
        <v>71</v>
      </c>
      <c r="B152">
        <f t="shared" si="6"/>
        <v>0.13351134846461948</v>
      </c>
      <c r="C152">
        <f t="shared" si="7"/>
        <v>0.53404539385847793</v>
      </c>
      <c r="D152">
        <v>1.4</v>
      </c>
      <c r="E152" t="s">
        <v>80</v>
      </c>
      <c r="F152" t="s">
        <v>21</v>
      </c>
      <c r="G152" t="s">
        <v>26</v>
      </c>
      <c r="H152" t="s">
        <v>20</v>
      </c>
      <c r="I152" t="s">
        <v>24</v>
      </c>
      <c r="J152" t="s">
        <v>19</v>
      </c>
      <c r="K152" t="s">
        <v>21</v>
      </c>
      <c r="L152" t="s">
        <v>26</v>
      </c>
      <c r="M152" t="s">
        <v>20</v>
      </c>
      <c r="N152" t="s">
        <v>24</v>
      </c>
      <c r="O152" t="s">
        <v>19</v>
      </c>
    </row>
    <row r="153" spans="1:15">
      <c r="A153" t="s">
        <v>71</v>
      </c>
      <c r="B153">
        <f t="shared" si="6"/>
        <v>0.13351134846461948</v>
      </c>
      <c r="C153">
        <f t="shared" si="7"/>
        <v>0.53404539385847793</v>
      </c>
      <c r="D153">
        <v>1.3</v>
      </c>
      <c r="E153" t="s">
        <v>80</v>
      </c>
      <c r="F153" t="s">
        <v>18</v>
      </c>
      <c r="G153" t="s">
        <v>23</v>
      </c>
      <c r="H153" t="s">
        <v>19</v>
      </c>
      <c r="I153" t="s">
        <v>24</v>
      </c>
      <c r="J153" t="s">
        <v>17</v>
      </c>
      <c r="K153" t="s">
        <v>18</v>
      </c>
      <c r="L153" t="s">
        <v>23</v>
      </c>
      <c r="M153" t="s">
        <v>19</v>
      </c>
      <c r="N153" t="s">
        <v>24</v>
      </c>
      <c r="O153" t="s">
        <v>17</v>
      </c>
    </row>
    <row r="154" spans="1:15">
      <c r="A154" t="s">
        <v>71</v>
      </c>
      <c r="B154">
        <f t="shared" si="6"/>
        <v>0.13351134846461948</v>
      </c>
      <c r="C154">
        <f t="shared" si="7"/>
        <v>0.53404539385847793</v>
      </c>
      <c r="D154">
        <v>1.2</v>
      </c>
      <c r="E154" t="s">
        <v>80</v>
      </c>
      <c r="F154" t="s">
        <v>24</v>
      </c>
      <c r="G154" t="s">
        <v>20</v>
      </c>
      <c r="H154" t="s">
        <v>25</v>
      </c>
      <c r="I154" t="s">
        <v>21</v>
      </c>
      <c r="J154" t="s">
        <v>17</v>
      </c>
      <c r="K154" t="s">
        <v>24</v>
      </c>
      <c r="L154" t="s">
        <v>20</v>
      </c>
      <c r="M154" t="s">
        <v>25</v>
      </c>
      <c r="N154" t="s">
        <v>21</v>
      </c>
      <c r="O154" t="s">
        <v>17</v>
      </c>
    </row>
    <row r="155" spans="1:15">
      <c r="A155" t="s">
        <v>71</v>
      </c>
      <c r="B155">
        <f t="shared" si="6"/>
        <v>0.13351134846461948</v>
      </c>
      <c r="C155">
        <f t="shared" si="7"/>
        <v>0.53404539385847793</v>
      </c>
      <c r="D155">
        <v>1.1000000000000001</v>
      </c>
      <c r="E155" t="s">
        <v>80</v>
      </c>
      <c r="F155" t="s">
        <v>19</v>
      </c>
      <c r="G155" t="s">
        <v>22</v>
      </c>
      <c r="H155" t="s">
        <v>17</v>
      </c>
      <c r="I155" t="s">
        <v>26</v>
      </c>
      <c r="J155" t="s">
        <v>25</v>
      </c>
      <c r="K155" t="s">
        <v>19</v>
      </c>
      <c r="L155" t="s">
        <v>22</v>
      </c>
      <c r="M155" t="s">
        <v>17</v>
      </c>
      <c r="N155" t="s">
        <v>26</v>
      </c>
      <c r="O155" t="s">
        <v>25</v>
      </c>
    </row>
    <row r="156" spans="1:15">
      <c r="A156" t="s">
        <v>71</v>
      </c>
      <c r="B156">
        <f t="shared" si="6"/>
        <v>0.13351134846461948</v>
      </c>
      <c r="C156">
        <f t="shared" si="7"/>
        <v>0.53404539385847793</v>
      </c>
      <c r="D156">
        <v>1</v>
      </c>
      <c r="E156" t="s">
        <v>80</v>
      </c>
      <c r="F156" t="s">
        <v>18</v>
      </c>
      <c r="G156" t="s">
        <v>24</v>
      </c>
      <c r="H156" t="s">
        <v>26</v>
      </c>
      <c r="I156" t="s">
        <v>21</v>
      </c>
      <c r="J156" t="s">
        <v>22</v>
      </c>
      <c r="K156" t="s">
        <v>18</v>
      </c>
      <c r="L156" t="s">
        <v>24</v>
      </c>
      <c r="M156" t="s">
        <v>26</v>
      </c>
      <c r="N156" t="s">
        <v>21</v>
      </c>
      <c r="O156" t="s">
        <v>22</v>
      </c>
    </row>
    <row r="157" spans="1:15">
      <c r="A157" t="s">
        <v>71</v>
      </c>
      <c r="B157">
        <f t="shared" si="6"/>
        <v>0.13351134846461948</v>
      </c>
      <c r="C157">
        <f t="shared" si="7"/>
        <v>0.53404539385847793</v>
      </c>
      <c r="D157">
        <v>0.90000000000000102</v>
      </c>
      <c r="E157" t="s">
        <v>80</v>
      </c>
      <c r="F157" t="s">
        <v>22</v>
      </c>
      <c r="G157" t="s">
        <v>24</v>
      </c>
      <c r="H157" t="s">
        <v>17</v>
      </c>
      <c r="I157" t="s">
        <v>18</v>
      </c>
      <c r="J157" t="s">
        <v>19</v>
      </c>
      <c r="K157" t="s">
        <v>22</v>
      </c>
      <c r="L157" t="s">
        <v>24</v>
      </c>
      <c r="M157" t="s">
        <v>17</v>
      </c>
      <c r="N157" t="s">
        <v>18</v>
      </c>
      <c r="O157" t="s">
        <v>19</v>
      </c>
    </row>
    <row r="158" spans="1:15">
      <c r="A158" t="s">
        <v>71</v>
      </c>
      <c r="B158">
        <f t="shared" si="6"/>
        <v>0.13351134846461948</v>
      </c>
      <c r="C158">
        <f t="shared" si="7"/>
        <v>0.53404539385847793</v>
      </c>
      <c r="D158">
        <v>0.80000000000000104</v>
      </c>
      <c r="E158" t="s">
        <v>80</v>
      </c>
      <c r="F158" t="s">
        <v>24</v>
      </c>
      <c r="G158" t="s">
        <v>23</v>
      </c>
      <c r="H158" t="s">
        <v>20</v>
      </c>
      <c r="I158" t="s">
        <v>25</v>
      </c>
      <c r="J158" t="s">
        <v>17</v>
      </c>
      <c r="K158" t="s">
        <v>24</v>
      </c>
      <c r="L158" t="s">
        <v>23</v>
      </c>
      <c r="M158" t="s">
        <v>20</v>
      </c>
      <c r="N158" t="s">
        <v>25</v>
      </c>
      <c r="O158" t="s">
        <v>17</v>
      </c>
    </row>
    <row r="159" spans="1:15">
      <c r="A159" t="s">
        <v>71</v>
      </c>
      <c r="B159">
        <f t="shared" si="6"/>
        <v>0.13351134846461948</v>
      </c>
      <c r="C159">
        <f t="shared" si="7"/>
        <v>0.53404539385847793</v>
      </c>
      <c r="D159">
        <v>0.70000000000000095</v>
      </c>
      <c r="E159" t="s">
        <v>80</v>
      </c>
      <c r="F159" t="s">
        <v>25</v>
      </c>
      <c r="G159" t="s">
        <v>19</v>
      </c>
      <c r="H159" t="s">
        <v>23</v>
      </c>
      <c r="I159" t="s">
        <v>21</v>
      </c>
      <c r="J159" t="s">
        <v>24</v>
      </c>
      <c r="K159" t="s">
        <v>25</v>
      </c>
      <c r="L159" t="s">
        <v>19</v>
      </c>
      <c r="M159" t="s">
        <v>23</v>
      </c>
      <c r="N159" t="s">
        <v>21</v>
      </c>
      <c r="O159" t="s">
        <v>24</v>
      </c>
    </row>
    <row r="160" spans="1:15">
      <c r="A160" t="s">
        <v>71</v>
      </c>
      <c r="B160">
        <f t="shared" si="6"/>
        <v>0.13351134846461948</v>
      </c>
      <c r="C160">
        <f t="shared" si="7"/>
        <v>0.53404539385847793</v>
      </c>
      <c r="D160">
        <v>0.6</v>
      </c>
      <c r="E160" t="s">
        <v>80</v>
      </c>
      <c r="F160" t="s">
        <v>21</v>
      </c>
      <c r="G160" t="s">
        <v>17</v>
      </c>
      <c r="H160" t="s">
        <v>22</v>
      </c>
      <c r="I160" t="s">
        <v>26</v>
      </c>
      <c r="J160" t="s">
        <v>18</v>
      </c>
      <c r="K160" t="s">
        <v>21</v>
      </c>
      <c r="L160" t="s">
        <v>17</v>
      </c>
      <c r="M160" t="s">
        <v>22</v>
      </c>
      <c r="N160" t="s">
        <v>26</v>
      </c>
      <c r="O160" t="s">
        <v>18</v>
      </c>
    </row>
    <row r="161" spans="1:15">
      <c r="A161" t="s">
        <v>71</v>
      </c>
      <c r="B161">
        <f t="shared" si="6"/>
        <v>0.13351134846461948</v>
      </c>
      <c r="C161">
        <f t="shared" si="7"/>
        <v>0.53404539385847793</v>
      </c>
      <c r="D161">
        <v>0.5</v>
      </c>
      <c r="E161" t="s">
        <v>80</v>
      </c>
      <c r="F161" t="s">
        <v>25</v>
      </c>
      <c r="G161" t="s">
        <v>26</v>
      </c>
      <c r="H161" t="s">
        <v>17</v>
      </c>
      <c r="I161" t="s">
        <v>20</v>
      </c>
      <c r="J161" t="s">
        <v>23</v>
      </c>
      <c r="K161" t="s">
        <v>25</v>
      </c>
      <c r="L161" t="s">
        <v>26</v>
      </c>
      <c r="M161" t="s">
        <v>17</v>
      </c>
      <c r="O161" t="s">
        <v>23</v>
      </c>
    </row>
    <row r="162" spans="1:15">
      <c r="A162" t="s">
        <v>71</v>
      </c>
      <c r="B162">
        <f t="shared" si="6"/>
        <v>0.13351134846461948</v>
      </c>
      <c r="C162">
        <f t="shared" si="7"/>
        <v>0.53404539385847793</v>
      </c>
      <c r="D162">
        <v>0.4</v>
      </c>
      <c r="E162" t="s">
        <v>80</v>
      </c>
      <c r="F162" t="s">
        <v>22</v>
      </c>
      <c r="G162" t="s">
        <v>21</v>
      </c>
      <c r="H162" t="s">
        <v>25</v>
      </c>
      <c r="I162" t="s">
        <v>24</v>
      </c>
      <c r="J162" t="s">
        <v>19</v>
      </c>
      <c r="K162" t="s">
        <v>22</v>
      </c>
    </row>
    <row r="163" spans="1:15">
      <c r="A163" t="s">
        <v>71</v>
      </c>
      <c r="B163">
        <f t="shared" si="6"/>
        <v>0.13351134846461948</v>
      </c>
      <c r="C163">
        <f t="shared" si="7"/>
        <v>0.53404539385847793</v>
      </c>
      <c r="D163">
        <v>0.3</v>
      </c>
      <c r="E163" t="s">
        <v>80</v>
      </c>
      <c r="F163" t="s">
        <v>23</v>
      </c>
      <c r="G163" t="s">
        <v>22</v>
      </c>
      <c r="H163" t="s">
        <v>24</v>
      </c>
      <c r="I163" t="s">
        <v>21</v>
      </c>
      <c r="J163" t="s">
        <v>19</v>
      </c>
    </row>
    <row r="164" spans="1:15">
      <c r="A164" t="s">
        <v>71</v>
      </c>
      <c r="B164">
        <f t="shared" si="6"/>
        <v>0.13351134846461948</v>
      </c>
      <c r="C164">
        <f t="shared" si="7"/>
        <v>0.53404539385847793</v>
      </c>
      <c r="D164">
        <v>0.2</v>
      </c>
      <c r="E164" t="s">
        <v>80</v>
      </c>
      <c r="F164" t="s">
        <v>24</v>
      </c>
      <c r="G164" t="s">
        <v>22</v>
      </c>
      <c r="H164" t="s">
        <v>21</v>
      </c>
      <c r="I164" t="s">
        <v>26</v>
      </c>
      <c r="J164" t="s">
        <v>25</v>
      </c>
    </row>
    <row r="165" spans="1:15">
      <c r="A165" t="s">
        <v>71</v>
      </c>
      <c r="B165">
        <f t="shared" si="6"/>
        <v>0.13351134846461948</v>
      </c>
      <c r="C165">
        <f t="shared" si="7"/>
        <v>0.53404539385847793</v>
      </c>
      <c r="D165">
        <v>9.9999999999999895E-2</v>
      </c>
      <c r="E165" t="s">
        <v>80</v>
      </c>
      <c r="F165" t="s">
        <v>26</v>
      </c>
      <c r="G165" t="s">
        <v>19</v>
      </c>
      <c r="H165" t="s">
        <v>23</v>
      </c>
      <c r="I165" t="s">
        <v>17</v>
      </c>
      <c r="J165" t="s">
        <v>24</v>
      </c>
    </row>
    <row r="166" spans="1:15">
      <c r="A166" t="s">
        <v>71</v>
      </c>
      <c r="B166">
        <f t="shared" si="6"/>
        <v>0.13351134846461948</v>
      </c>
      <c r="C166">
        <f t="shared" si="7"/>
        <v>0.53404539385847793</v>
      </c>
      <c r="D166">
        <v>0</v>
      </c>
      <c r="E166" t="s">
        <v>80</v>
      </c>
      <c r="F166" t="s">
        <v>18</v>
      </c>
      <c r="G166" t="s">
        <v>24</v>
      </c>
      <c r="H166" t="s">
        <v>21</v>
      </c>
      <c r="I166" t="s">
        <v>23</v>
      </c>
      <c r="J166" t="s">
        <v>22</v>
      </c>
    </row>
    <row r="167" spans="1:15">
      <c r="A167" t="s">
        <v>71</v>
      </c>
      <c r="B167">
        <f t="shared" si="6"/>
        <v>0.13351134846461948</v>
      </c>
      <c r="C167">
        <f t="shared" si="7"/>
        <v>0.53404539385847793</v>
      </c>
      <c r="D167">
        <v>-0.1</v>
      </c>
      <c r="E167" t="s">
        <v>80</v>
      </c>
      <c r="F167" t="s">
        <v>24</v>
      </c>
      <c r="G167" t="s">
        <v>22</v>
      </c>
      <c r="H167" t="s">
        <v>26</v>
      </c>
      <c r="I167" t="s">
        <v>17</v>
      </c>
      <c r="J167" t="s">
        <v>25</v>
      </c>
    </row>
    <row r="168" spans="1:15">
      <c r="A168" t="s">
        <v>71</v>
      </c>
      <c r="B168">
        <f t="shared" si="6"/>
        <v>0.13351134846461948</v>
      </c>
      <c r="C168">
        <f t="shared" si="7"/>
        <v>0.53404539385847793</v>
      </c>
      <c r="D168">
        <v>-0.2</v>
      </c>
      <c r="E168" t="s">
        <v>80</v>
      </c>
      <c r="F168" t="s">
        <v>17</v>
      </c>
      <c r="G168" t="s">
        <v>22</v>
      </c>
      <c r="H168" t="s">
        <v>26</v>
      </c>
      <c r="I168" t="s">
        <v>19</v>
      </c>
      <c r="J168" t="s">
        <v>24</v>
      </c>
    </row>
    <row r="169" spans="1:15">
      <c r="A169" t="s">
        <v>71</v>
      </c>
      <c r="B169">
        <f t="shared" si="6"/>
        <v>0.13351134846461948</v>
      </c>
      <c r="C169">
        <f t="shared" si="7"/>
        <v>0.53404539385847793</v>
      </c>
      <c r="D169">
        <v>-0.3</v>
      </c>
      <c r="E169" t="s">
        <v>80</v>
      </c>
      <c r="F169" t="s">
        <v>18</v>
      </c>
      <c r="G169" t="s">
        <v>24</v>
      </c>
      <c r="H169" t="s">
        <v>21</v>
      </c>
      <c r="I169" t="s">
        <v>22</v>
      </c>
      <c r="J169" t="s">
        <v>17</v>
      </c>
    </row>
    <row r="170" spans="1:15">
      <c r="A170" t="s">
        <v>72</v>
      </c>
      <c r="B170">
        <f>1/13.92</f>
        <v>7.183908045977011E-2</v>
      </c>
      <c r="C170">
        <f>4/13.92</f>
        <v>0.28735632183908044</v>
      </c>
      <c r="D170">
        <v>1.7</v>
      </c>
      <c r="E170" t="s">
        <v>80</v>
      </c>
      <c r="F170" t="s">
        <v>20</v>
      </c>
      <c r="G170" t="s">
        <v>18</v>
      </c>
      <c r="H170" t="s">
        <v>25</v>
      </c>
      <c r="I170" t="s">
        <v>22</v>
      </c>
      <c r="J170" t="s">
        <v>21</v>
      </c>
      <c r="K170" t="s">
        <v>20</v>
      </c>
      <c r="L170" t="s">
        <v>18</v>
      </c>
      <c r="M170" t="s">
        <v>25</v>
      </c>
      <c r="N170" t="s">
        <v>22</v>
      </c>
      <c r="O170" t="s">
        <v>21</v>
      </c>
    </row>
    <row r="171" spans="1:15">
      <c r="A171" t="s">
        <v>72</v>
      </c>
      <c r="B171">
        <f t="shared" ref="B171:B190" si="8">1/13.92</f>
        <v>7.183908045977011E-2</v>
      </c>
      <c r="C171">
        <f t="shared" ref="C171:C190" si="9">4/13.92</f>
        <v>0.28735632183908044</v>
      </c>
      <c r="D171">
        <v>1.6</v>
      </c>
      <c r="E171" t="s">
        <v>80</v>
      </c>
      <c r="F171" t="s">
        <v>26</v>
      </c>
      <c r="G171" t="s">
        <v>19</v>
      </c>
      <c r="H171" t="s">
        <v>23</v>
      </c>
      <c r="I171" t="s">
        <v>20</v>
      </c>
      <c r="J171" t="s">
        <v>25</v>
      </c>
      <c r="K171" t="s">
        <v>26</v>
      </c>
      <c r="L171" t="s">
        <v>19</v>
      </c>
      <c r="M171" t="s">
        <v>23</v>
      </c>
      <c r="N171" t="s">
        <v>20</v>
      </c>
      <c r="O171" t="s">
        <v>25</v>
      </c>
    </row>
    <row r="172" spans="1:15">
      <c r="A172" t="s">
        <v>72</v>
      </c>
      <c r="B172">
        <f t="shared" si="8"/>
        <v>7.183908045977011E-2</v>
      </c>
      <c r="C172">
        <f t="shared" si="9"/>
        <v>0.28735632183908044</v>
      </c>
      <c r="D172">
        <v>1.5</v>
      </c>
      <c r="E172" t="s">
        <v>80</v>
      </c>
      <c r="F172" t="s">
        <v>22</v>
      </c>
      <c r="G172" t="s">
        <v>18</v>
      </c>
      <c r="H172" t="s">
        <v>20</v>
      </c>
      <c r="I172" t="s">
        <v>23</v>
      </c>
      <c r="J172" t="s">
        <v>17</v>
      </c>
      <c r="K172" t="s">
        <v>22</v>
      </c>
      <c r="L172" t="s">
        <v>18</v>
      </c>
      <c r="M172" t="s">
        <v>20</v>
      </c>
      <c r="N172" t="s">
        <v>23</v>
      </c>
      <c r="O172" t="s">
        <v>17</v>
      </c>
    </row>
    <row r="173" spans="1:15">
      <c r="A173" t="s">
        <v>72</v>
      </c>
      <c r="B173">
        <f t="shared" si="8"/>
        <v>7.183908045977011E-2</v>
      </c>
      <c r="C173">
        <f t="shared" si="9"/>
        <v>0.28735632183908044</v>
      </c>
      <c r="D173">
        <v>1.4</v>
      </c>
      <c r="E173" t="s">
        <v>80</v>
      </c>
      <c r="F173" t="s">
        <v>26</v>
      </c>
      <c r="G173" t="s">
        <v>18</v>
      </c>
      <c r="H173" t="s">
        <v>22</v>
      </c>
      <c r="I173" t="s">
        <v>24</v>
      </c>
      <c r="J173" t="s">
        <v>19</v>
      </c>
      <c r="K173" t="s">
        <v>26</v>
      </c>
      <c r="L173" t="s">
        <v>18</v>
      </c>
      <c r="M173" t="s">
        <v>22</v>
      </c>
      <c r="N173" t="s">
        <v>24</v>
      </c>
      <c r="O173" t="s">
        <v>19</v>
      </c>
    </row>
    <row r="174" spans="1:15">
      <c r="A174" t="s">
        <v>72</v>
      </c>
      <c r="B174">
        <f t="shared" si="8"/>
        <v>7.183908045977011E-2</v>
      </c>
      <c r="C174">
        <f t="shared" si="9"/>
        <v>0.28735632183908044</v>
      </c>
      <c r="D174">
        <v>1.3</v>
      </c>
      <c r="E174" t="s">
        <v>80</v>
      </c>
      <c r="F174" t="s">
        <v>22</v>
      </c>
      <c r="G174" t="s">
        <v>17</v>
      </c>
      <c r="H174" t="s">
        <v>25</v>
      </c>
      <c r="I174" t="s">
        <v>23</v>
      </c>
      <c r="J174" t="s">
        <v>19</v>
      </c>
      <c r="K174" t="s">
        <v>22</v>
      </c>
      <c r="L174" t="s">
        <v>17</v>
      </c>
      <c r="M174" t="s">
        <v>25</v>
      </c>
      <c r="N174" t="s">
        <v>23</v>
      </c>
      <c r="O174" t="s">
        <v>19</v>
      </c>
    </row>
    <row r="175" spans="1:15">
      <c r="A175" t="s">
        <v>72</v>
      </c>
      <c r="B175">
        <f t="shared" si="8"/>
        <v>7.183908045977011E-2</v>
      </c>
      <c r="C175">
        <f t="shared" si="9"/>
        <v>0.28735632183908044</v>
      </c>
      <c r="D175">
        <v>1.2</v>
      </c>
      <c r="E175" t="s">
        <v>80</v>
      </c>
      <c r="F175" t="s">
        <v>23</v>
      </c>
      <c r="G175" t="s">
        <v>17</v>
      </c>
      <c r="H175" t="s">
        <v>22</v>
      </c>
      <c r="I175" t="s">
        <v>18</v>
      </c>
      <c r="J175" t="s">
        <v>26</v>
      </c>
      <c r="K175" t="s">
        <v>23</v>
      </c>
      <c r="L175" t="s">
        <v>17</v>
      </c>
      <c r="M175" t="s">
        <v>22</v>
      </c>
      <c r="N175" t="s">
        <v>18</v>
      </c>
      <c r="O175" t="s">
        <v>26</v>
      </c>
    </row>
    <row r="176" spans="1:15">
      <c r="A176" t="s">
        <v>72</v>
      </c>
      <c r="B176">
        <f t="shared" si="8"/>
        <v>7.183908045977011E-2</v>
      </c>
      <c r="C176">
        <f t="shared" si="9"/>
        <v>0.28735632183908044</v>
      </c>
      <c r="D176">
        <v>1.1000000000000001</v>
      </c>
      <c r="E176" t="s">
        <v>80</v>
      </c>
      <c r="F176" t="s">
        <v>23</v>
      </c>
      <c r="G176" t="s">
        <v>22</v>
      </c>
      <c r="H176" t="s">
        <v>24</v>
      </c>
      <c r="I176" t="s">
        <v>26</v>
      </c>
      <c r="J176" t="s">
        <v>17</v>
      </c>
      <c r="K176" t="s">
        <v>23</v>
      </c>
      <c r="L176" t="s">
        <v>22</v>
      </c>
      <c r="M176" t="s">
        <v>24</v>
      </c>
      <c r="N176" t="s">
        <v>26</v>
      </c>
      <c r="O176" t="s">
        <v>17</v>
      </c>
    </row>
    <row r="177" spans="1:15">
      <c r="A177" t="s">
        <v>72</v>
      </c>
      <c r="B177">
        <f t="shared" si="8"/>
        <v>7.183908045977011E-2</v>
      </c>
      <c r="C177">
        <f t="shared" si="9"/>
        <v>0.28735632183908044</v>
      </c>
      <c r="D177">
        <v>1</v>
      </c>
      <c r="E177" t="s">
        <v>80</v>
      </c>
      <c r="F177" t="s">
        <v>24</v>
      </c>
      <c r="G177" t="s">
        <v>21</v>
      </c>
      <c r="H177" t="s">
        <v>20</v>
      </c>
      <c r="I177" t="s">
        <v>18</v>
      </c>
      <c r="J177" t="s">
        <v>26</v>
      </c>
      <c r="K177" t="s">
        <v>24</v>
      </c>
      <c r="L177" t="s">
        <v>21</v>
      </c>
      <c r="M177" t="s">
        <v>20</v>
      </c>
      <c r="N177" t="s">
        <v>18</v>
      </c>
      <c r="O177" t="s">
        <v>26</v>
      </c>
    </row>
    <row r="178" spans="1:15">
      <c r="A178" t="s">
        <v>72</v>
      </c>
      <c r="B178">
        <f t="shared" si="8"/>
        <v>7.183908045977011E-2</v>
      </c>
      <c r="C178">
        <f t="shared" si="9"/>
        <v>0.28735632183908044</v>
      </c>
      <c r="D178">
        <v>0.90000000000000102</v>
      </c>
      <c r="E178" t="s">
        <v>80</v>
      </c>
      <c r="F178" t="s">
        <v>18</v>
      </c>
      <c r="G178" t="s">
        <v>17</v>
      </c>
      <c r="H178" t="s">
        <v>19</v>
      </c>
      <c r="I178" t="s">
        <v>20</v>
      </c>
      <c r="J178" t="s">
        <v>23</v>
      </c>
      <c r="K178" t="s">
        <v>18</v>
      </c>
      <c r="L178" t="s">
        <v>17</v>
      </c>
    </row>
    <row r="179" spans="1:15">
      <c r="A179" t="s">
        <v>72</v>
      </c>
      <c r="B179">
        <f t="shared" si="8"/>
        <v>7.183908045977011E-2</v>
      </c>
      <c r="C179">
        <f t="shared" si="9"/>
        <v>0.28735632183908044</v>
      </c>
      <c r="D179">
        <v>0.80000000000000104</v>
      </c>
      <c r="E179" t="s">
        <v>80</v>
      </c>
      <c r="F179" t="s">
        <v>18</v>
      </c>
      <c r="G179" t="s">
        <v>24</v>
      </c>
      <c r="H179" t="s">
        <v>22</v>
      </c>
      <c r="I179" t="s">
        <v>25</v>
      </c>
      <c r="J179" t="s">
        <v>26</v>
      </c>
    </row>
    <row r="180" spans="1:15">
      <c r="A180" t="s">
        <v>72</v>
      </c>
      <c r="B180">
        <f t="shared" si="8"/>
        <v>7.183908045977011E-2</v>
      </c>
      <c r="C180">
        <f t="shared" si="9"/>
        <v>0.28735632183908044</v>
      </c>
      <c r="D180">
        <v>0.70000000000000095</v>
      </c>
      <c r="E180" t="s">
        <v>80</v>
      </c>
      <c r="F180" t="s">
        <v>22</v>
      </c>
      <c r="G180" t="s">
        <v>19</v>
      </c>
      <c r="H180" t="s">
        <v>23</v>
      </c>
      <c r="I180" t="s">
        <v>25</v>
      </c>
      <c r="J180" t="s">
        <v>17</v>
      </c>
    </row>
    <row r="181" spans="1:15">
      <c r="A181" t="s">
        <v>72</v>
      </c>
      <c r="B181">
        <f t="shared" si="8"/>
        <v>7.183908045977011E-2</v>
      </c>
      <c r="C181">
        <f t="shared" si="9"/>
        <v>0.28735632183908044</v>
      </c>
      <c r="D181">
        <v>0.6</v>
      </c>
      <c r="E181" t="s">
        <v>80</v>
      </c>
      <c r="F181" t="s">
        <v>19</v>
      </c>
      <c r="G181" t="s">
        <v>21</v>
      </c>
      <c r="H181" t="s">
        <v>22</v>
      </c>
      <c r="I181" t="s">
        <v>26</v>
      </c>
      <c r="J181" t="s">
        <v>23</v>
      </c>
    </row>
    <row r="182" spans="1:15">
      <c r="A182" t="s">
        <v>72</v>
      </c>
      <c r="B182">
        <f t="shared" si="8"/>
        <v>7.183908045977011E-2</v>
      </c>
      <c r="C182">
        <f t="shared" si="9"/>
        <v>0.28735632183908044</v>
      </c>
      <c r="D182">
        <v>0.5</v>
      </c>
      <c r="E182" t="s">
        <v>80</v>
      </c>
      <c r="F182" t="s">
        <v>26</v>
      </c>
      <c r="G182" t="s">
        <v>17</v>
      </c>
      <c r="H182" t="s">
        <v>24</v>
      </c>
      <c r="I182" t="s">
        <v>25</v>
      </c>
      <c r="J182" t="s">
        <v>23</v>
      </c>
    </row>
    <row r="183" spans="1:15">
      <c r="A183" t="s">
        <v>72</v>
      </c>
      <c r="B183">
        <f t="shared" si="8"/>
        <v>7.183908045977011E-2</v>
      </c>
      <c r="C183">
        <f t="shared" si="9"/>
        <v>0.28735632183908044</v>
      </c>
      <c r="D183">
        <v>0.4</v>
      </c>
      <c r="E183" t="s">
        <v>80</v>
      </c>
      <c r="F183" t="s">
        <v>26</v>
      </c>
      <c r="G183" t="s">
        <v>25</v>
      </c>
      <c r="H183" t="s">
        <v>18</v>
      </c>
      <c r="I183" t="s">
        <v>24</v>
      </c>
      <c r="J183" t="s">
        <v>17</v>
      </c>
    </row>
    <row r="184" spans="1:15">
      <c r="A184" t="s">
        <v>72</v>
      </c>
      <c r="B184">
        <f t="shared" si="8"/>
        <v>7.183908045977011E-2</v>
      </c>
      <c r="C184">
        <f t="shared" si="9"/>
        <v>0.28735632183908044</v>
      </c>
      <c r="D184">
        <v>0.3</v>
      </c>
      <c r="E184" t="s">
        <v>80</v>
      </c>
      <c r="F184" t="s">
        <v>23</v>
      </c>
      <c r="G184" t="s">
        <v>25</v>
      </c>
      <c r="H184" t="s">
        <v>20</v>
      </c>
      <c r="I184" t="s">
        <v>24</v>
      </c>
      <c r="J184" t="s">
        <v>19</v>
      </c>
    </row>
    <row r="185" spans="1:15">
      <c r="A185" t="s">
        <v>72</v>
      </c>
      <c r="B185">
        <f t="shared" si="8"/>
        <v>7.183908045977011E-2</v>
      </c>
      <c r="C185">
        <f t="shared" si="9"/>
        <v>0.28735632183908044</v>
      </c>
      <c r="D185">
        <v>0.2</v>
      </c>
      <c r="E185" t="s">
        <v>80</v>
      </c>
      <c r="F185" t="s">
        <v>26</v>
      </c>
      <c r="G185" t="s">
        <v>19</v>
      </c>
      <c r="H185" t="s">
        <v>17</v>
      </c>
      <c r="I185" t="s">
        <v>20</v>
      </c>
      <c r="J185" t="s">
        <v>22</v>
      </c>
    </row>
    <row r="186" spans="1:15">
      <c r="A186" t="s">
        <v>72</v>
      </c>
      <c r="B186">
        <f t="shared" si="8"/>
        <v>7.183908045977011E-2</v>
      </c>
      <c r="C186">
        <f t="shared" si="9"/>
        <v>0.28735632183908044</v>
      </c>
      <c r="D186">
        <v>9.9999999999999895E-2</v>
      </c>
      <c r="E186" t="s">
        <v>80</v>
      </c>
      <c r="F186" t="s">
        <v>20</v>
      </c>
      <c r="G186" t="s">
        <v>26</v>
      </c>
      <c r="H186" t="s">
        <v>18</v>
      </c>
      <c r="I186" t="s">
        <v>17</v>
      </c>
      <c r="J186" t="s">
        <v>22</v>
      </c>
    </row>
    <row r="187" spans="1:15">
      <c r="A187" t="s">
        <v>72</v>
      </c>
      <c r="B187">
        <f t="shared" si="8"/>
        <v>7.183908045977011E-2</v>
      </c>
      <c r="C187">
        <f t="shared" si="9"/>
        <v>0.28735632183908044</v>
      </c>
      <c r="D187">
        <v>0</v>
      </c>
      <c r="E187" t="s">
        <v>80</v>
      </c>
      <c r="F187" t="s">
        <v>25</v>
      </c>
      <c r="G187" t="s">
        <v>26</v>
      </c>
      <c r="H187" t="s">
        <v>20</v>
      </c>
      <c r="I187" t="s">
        <v>22</v>
      </c>
      <c r="J187" t="s">
        <v>24</v>
      </c>
    </row>
    <row r="188" spans="1:15">
      <c r="A188" t="s">
        <v>72</v>
      </c>
      <c r="B188">
        <f t="shared" si="8"/>
        <v>7.183908045977011E-2</v>
      </c>
      <c r="C188">
        <f t="shared" si="9"/>
        <v>0.28735632183908044</v>
      </c>
      <c r="D188">
        <v>-0.1</v>
      </c>
      <c r="E188" t="s">
        <v>80</v>
      </c>
      <c r="F188" t="s">
        <v>22</v>
      </c>
      <c r="G188" t="s">
        <v>25</v>
      </c>
      <c r="H188" t="s">
        <v>19</v>
      </c>
      <c r="I188" t="s">
        <v>17</v>
      </c>
      <c r="J188" t="s">
        <v>18</v>
      </c>
    </row>
    <row r="189" spans="1:15">
      <c r="A189" t="s">
        <v>72</v>
      </c>
      <c r="B189">
        <f t="shared" si="8"/>
        <v>7.183908045977011E-2</v>
      </c>
      <c r="C189">
        <f t="shared" si="9"/>
        <v>0.28735632183908044</v>
      </c>
      <c r="D189">
        <v>-0.2</v>
      </c>
      <c r="E189" t="s">
        <v>80</v>
      </c>
      <c r="F189" t="s">
        <v>25</v>
      </c>
      <c r="G189" t="s">
        <v>21</v>
      </c>
      <c r="H189" t="s">
        <v>20</v>
      </c>
      <c r="I189" t="s">
        <v>19</v>
      </c>
      <c r="J189" t="s">
        <v>24</v>
      </c>
    </row>
    <row r="190" spans="1:15">
      <c r="A190" t="s">
        <v>72</v>
      </c>
      <c r="B190">
        <f t="shared" si="8"/>
        <v>7.183908045977011E-2</v>
      </c>
      <c r="C190">
        <f t="shared" si="9"/>
        <v>0.28735632183908044</v>
      </c>
      <c r="D190">
        <v>-0.3</v>
      </c>
      <c r="E190" t="s">
        <v>80</v>
      </c>
      <c r="F190" t="s">
        <v>21</v>
      </c>
      <c r="G190" t="s">
        <v>18</v>
      </c>
      <c r="H190" t="s">
        <v>20</v>
      </c>
      <c r="I190" t="s">
        <v>19</v>
      </c>
      <c r="J190" t="s">
        <v>22</v>
      </c>
    </row>
    <row r="191" spans="1:15">
      <c r="A191" t="s">
        <v>73</v>
      </c>
      <c r="B191">
        <f>1/25.62</f>
        <v>3.9032006245121001E-2</v>
      </c>
      <c r="C191">
        <f>4/25.62</f>
        <v>0.156128024980484</v>
      </c>
      <c r="D191">
        <v>1.7</v>
      </c>
      <c r="E191" t="s">
        <v>80</v>
      </c>
      <c r="F191" t="s">
        <v>18</v>
      </c>
      <c r="G191" t="s">
        <v>19</v>
      </c>
      <c r="H191" t="s">
        <v>21</v>
      </c>
      <c r="I191" t="s">
        <v>23</v>
      </c>
      <c r="J191" t="s">
        <v>17</v>
      </c>
      <c r="K191" t="s">
        <v>18</v>
      </c>
      <c r="L191" t="s">
        <v>19</v>
      </c>
      <c r="M191" t="s">
        <v>21</v>
      </c>
      <c r="N191" t="s">
        <v>23</v>
      </c>
      <c r="O191" t="s">
        <v>17</v>
      </c>
    </row>
    <row r="192" spans="1:15">
      <c r="A192" t="s">
        <v>73</v>
      </c>
      <c r="B192">
        <f t="shared" ref="B192:B211" si="10">1/25.62</f>
        <v>3.9032006245121001E-2</v>
      </c>
      <c r="C192">
        <f t="shared" ref="C192:C211" si="11">4/25.62</f>
        <v>0.156128024980484</v>
      </c>
      <c r="D192">
        <v>1.6</v>
      </c>
      <c r="E192" t="s">
        <v>80</v>
      </c>
      <c r="F192" t="s">
        <v>17</v>
      </c>
      <c r="G192" t="s">
        <v>20</v>
      </c>
      <c r="H192" t="s">
        <v>18</v>
      </c>
      <c r="I192" t="s">
        <v>22</v>
      </c>
      <c r="J192" t="s">
        <v>21</v>
      </c>
      <c r="K192" t="s">
        <v>17</v>
      </c>
      <c r="L192" t="s">
        <v>20</v>
      </c>
      <c r="M192" t="s">
        <v>18</v>
      </c>
      <c r="N192" t="s">
        <v>22</v>
      </c>
      <c r="O192" t="s">
        <v>21</v>
      </c>
    </row>
    <row r="193" spans="1:15">
      <c r="A193" t="s">
        <v>73</v>
      </c>
      <c r="B193">
        <f t="shared" si="10"/>
        <v>3.9032006245121001E-2</v>
      </c>
      <c r="C193">
        <f t="shared" si="11"/>
        <v>0.156128024980484</v>
      </c>
      <c r="D193">
        <v>1.5</v>
      </c>
      <c r="E193" t="s">
        <v>80</v>
      </c>
      <c r="F193" t="s">
        <v>24</v>
      </c>
      <c r="G193" t="s">
        <v>26</v>
      </c>
      <c r="H193" t="s">
        <v>23</v>
      </c>
      <c r="I193" t="s">
        <v>18</v>
      </c>
      <c r="J193" t="s">
        <v>17</v>
      </c>
      <c r="K193" t="s">
        <v>24</v>
      </c>
      <c r="L193" t="s">
        <v>26</v>
      </c>
      <c r="M193" t="s">
        <v>23</v>
      </c>
      <c r="N193" t="s">
        <v>18</v>
      </c>
      <c r="O193" t="s">
        <v>17</v>
      </c>
    </row>
    <row r="194" spans="1:15">
      <c r="A194" t="s">
        <v>73</v>
      </c>
      <c r="B194">
        <f t="shared" si="10"/>
        <v>3.9032006245121001E-2</v>
      </c>
      <c r="C194">
        <f t="shared" si="11"/>
        <v>0.156128024980484</v>
      </c>
      <c r="D194">
        <v>1.4</v>
      </c>
      <c r="E194" t="s">
        <v>80</v>
      </c>
      <c r="F194" t="s">
        <v>17</v>
      </c>
      <c r="G194" t="s">
        <v>24</v>
      </c>
      <c r="H194" t="s">
        <v>23</v>
      </c>
      <c r="I194" t="s">
        <v>18</v>
      </c>
      <c r="J194" t="s">
        <v>21</v>
      </c>
      <c r="K194" t="s">
        <v>17</v>
      </c>
      <c r="L194" t="s">
        <v>24</v>
      </c>
      <c r="M194" t="s">
        <v>23</v>
      </c>
      <c r="N194" t="s">
        <v>18</v>
      </c>
      <c r="O194" t="s">
        <v>21</v>
      </c>
    </row>
    <row r="195" spans="1:15">
      <c r="A195" t="s">
        <v>73</v>
      </c>
      <c r="B195">
        <f t="shared" si="10"/>
        <v>3.9032006245121001E-2</v>
      </c>
      <c r="C195">
        <f t="shared" si="11"/>
        <v>0.156128024980484</v>
      </c>
      <c r="D195">
        <v>1.3</v>
      </c>
      <c r="E195" t="s">
        <v>80</v>
      </c>
      <c r="F195" t="s">
        <v>17</v>
      </c>
      <c r="G195" t="s">
        <v>23</v>
      </c>
      <c r="H195" t="s">
        <v>19</v>
      </c>
      <c r="I195" t="s">
        <v>22</v>
      </c>
      <c r="J195" t="s">
        <v>21</v>
      </c>
      <c r="K195" t="s">
        <v>17</v>
      </c>
      <c r="L195" t="s">
        <v>23</v>
      </c>
      <c r="N195" t="s">
        <v>22</v>
      </c>
      <c r="O195" t="s">
        <v>21</v>
      </c>
    </row>
    <row r="196" spans="1:15">
      <c r="A196" t="s">
        <v>73</v>
      </c>
      <c r="B196">
        <f t="shared" si="10"/>
        <v>3.9032006245121001E-2</v>
      </c>
      <c r="C196">
        <f t="shared" si="11"/>
        <v>0.156128024980484</v>
      </c>
      <c r="D196">
        <v>1.2</v>
      </c>
      <c r="E196" t="s">
        <v>80</v>
      </c>
      <c r="F196" t="s">
        <v>18</v>
      </c>
      <c r="G196" t="s">
        <v>25</v>
      </c>
      <c r="H196" t="s">
        <v>17</v>
      </c>
      <c r="I196" t="s">
        <v>24</v>
      </c>
      <c r="J196" t="s">
        <v>19</v>
      </c>
      <c r="K196" t="s">
        <v>18</v>
      </c>
      <c r="L196" t="s">
        <v>25</v>
      </c>
      <c r="M196" t="s">
        <v>17</v>
      </c>
      <c r="N196" t="s">
        <v>24</v>
      </c>
      <c r="O196" t="s">
        <v>19</v>
      </c>
    </row>
    <row r="197" spans="1:15">
      <c r="A197" t="s">
        <v>73</v>
      </c>
      <c r="B197">
        <f t="shared" si="10"/>
        <v>3.9032006245121001E-2</v>
      </c>
      <c r="C197">
        <f t="shared" si="11"/>
        <v>0.156128024980484</v>
      </c>
      <c r="D197">
        <v>1.1000000000000001</v>
      </c>
      <c r="E197" t="s">
        <v>80</v>
      </c>
      <c r="F197" t="s">
        <v>20</v>
      </c>
      <c r="G197" t="s">
        <v>22</v>
      </c>
      <c r="H197" t="s">
        <v>23</v>
      </c>
      <c r="I197" t="s">
        <v>18</v>
      </c>
      <c r="J197" t="s">
        <v>17</v>
      </c>
    </row>
    <row r="198" spans="1:15">
      <c r="A198" t="s">
        <v>73</v>
      </c>
      <c r="B198">
        <f t="shared" si="10"/>
        <v>3.9032006245121001E-2</v>
      </c>
      <c r="C198">
        <f t="shared" si="11"/>
        <v>0.156128024980484</v>
      </c>
      <c r="D198">
        <v>1</v>
      </c>
      <c r="E198" t="s">
        <v>80</v>
      </c>
      <c r="F198" t="s">
        <v>24</v>
      </c>
      <c r="G198" t="s">
        <v>22</v>
      </c>
      <c r="H198" t="s">
        <v>19</v>
      </c>
      <c r="I198" t="s">
        <v>21</v>
      </c>
      <c r="J198" t="s">
        <v>26</v>
      </c>
    </row>
    <row r="199" spans="1:15">
      <c r="A199" t="s">
        <v>73</v>
      </c>
      <c r="B199">
        <f t="shared" si="10"/>
        <v>3.9032006245121001E-2</v>
      </c>
      <c r="C199">
        <f t="shared" si="11"/>
        <v>0.156128024980484</v>
      </c>
      <c r="D199">
        <v>0.90000000000000102</v>
      </c>
      <c r="E199" t="s">
        <v>80</v>
      </c>
      <c r="F199" t="s">
        <v>23</v>
      </c>
      <c r="G199" t="s">
        <v>20</v>
      </c>
      <c r="H199" t="s">
        <v>18</v>
      </c>
      <c r="I199" t="s">
        <v>17</v>
      </c>
      <c r="J199" t="s">
        <v>25</v>
      </c>
    </row>
    <row r="200" spans="1:15">
      <c r="A200" t="s">
        <v>73</v>
      </c>
      <c r="B200">
        <f t="shared" si="10"/>
        <v>3.9032006245121001E-2</v>
      </c>
      <c r="C200">
        <f t="shared" si="11"/>
        <v>0.156128024980484</v>
      </c>
      <c r="D200">
        <v>0.80000000000000104</v>
      </c>
      <c r="E200" t="s">
        <v>80</v>
      </c>
      <c r="F200" t="s">
        <v>23</v>
      </c>
      <c r="G200" t="s">
        <v>26</v>
      </c>
      <c r="H200" t="s">
        <v>19</v>
      </c>
      <c r="I200" t="s">
        <v>18</v>
      </c>
      <c r="J200" t="s">
        <v>25</v>
      </c>
    </row>
    <row r="201" spans="1:15">
      <c r="A201" t="s">
        <v>73</v>
      </c>
      <c r="B201">
        <f t="shared" si="10"/>
        <v>3.9032006245121001E-2</v>
      </c>
      <c r="C201">
        <f t="shared" si="11"/>
        <v>0.156128024980484</v>
      </c>
      <c r="D201">
        <v>0.70000000000000095</v>
      </c>
      <c r="E201" t="s">
        <v>80</v>
      </c>
      <c r="F201" t="s">
        <v>25</v>
      </c>
      <c r="G201" t="s">
        <v>24</v>
      </c>
      <c r="H201" t="s">
        <v>20</v>
      </c>
      <c r="I201" t="s">
        <v>18</v>
      </c>
      <c r="J201" t="s">
        <v>19</v>
      </c>
    </row>
    <row r="202" spans="1:15">
      <c r="A202" t="s">
        <v>73</v>
      </c>
      <c r="B202">
        <f t="shared" si="10"/>
        <v>3.9032006245121001E-2</v>
      </c>
      <c r="C202">
        <f t="shared" si="11"/>
        <v>0.156128024980484</v>
      </c>
      <c r="D202">
        <v>0.6</v>
      </c>
      <c r="E202" t="s">
        <v>80</v>
      </c>
      <c r="F202" t="s">
        <v>26</v>
      </c>
      <c r="G202" t="s">
        <v>17</v>
      </c>
      <c r="H202" t="s">
        <v>22</v>
      </c>
      <c r="I202" t="s">
        <v>24</v>
      </c>
      <c r="J202" t="s">
        <v>19</v>
      </c>
    </row>
    <row r="203" spans="1:15">
      <c r="A203" t="s">
        <v>73</v>
      </c>
      <c r="B203">
        <f t="shared" si="10"/>
        <v>3.9032006245121001E-2</v>
      </c>
      <c r="C203">
        <f t="shared" si="11"/>
        <v>0.156128024980484</v>
      </c>
      <c r="D203">
        <v>0.5</v>
      </c>
      <c r="E203" t="s">
        <v>80</v>
      </c>
      <c r="F203" t="s">
        <v>26</v>
      </c>
      <c r="G203" t="s">
        <v>17</v>
      </c>
      <c r="H203" t="s">
        <v>21</v>
      </c>
      <c r="I203" t="s">
        <v>24</v>
      </c>
      <c r="J203" t="s">
        <v>23</v>
      </c>
    </row>
    <row r="204" spans="1:15">
      <c r="A204" t="s">
        <v>73</v>
      </c>
      <c r="B204">
        <f t="shared" si="10"/>
        <v>3.9032006245121001E-2</v>
      </c>
      <c r="C204">
        <f t="shared" si="11"/>
        <v>0.156128024980484</v>
      </c>
      <c r="D204">
        <v>0.4</v>
      </c>
      <c r="E204" t="s">
        <v>80</v>
      </c>
      <c r="F204" t="s">
        <v>19</v>
      </c>
      <c r="G204" t="s">
        <v>18</v>
      </c>
      <c r="H204" t="s">
        <v>22</v>
      </c>
      <c r="I204" t="s">
        <v>26</v>
      </c>
      <c r="J204" t="s">
        <v>20</v>
      </c>
    </row>
    <row r="205" spans="1:15">
      <c r="A205" t="s">
        <v>73</v>
      </c>
      <c r="B205">
        <f t="shared" si="10"/>
        <v>3.9032006245121001E-2</v>
      </c>
      <c r="C205">
        <f t="shared" si="11"/>
        <v>0.156128024980484</v>
      </c>
      <c r="D205">
        <v>0.3</v>
      </c>
      <c r="E205" t="s">
        <v>80</v>
      </c>
      <c r="F205" t="s">
        <v>19</v>
      </c>
      <c r="G205" t="s">
        <v>24</v>
      </c>
      <c r="H205" t="s">
        <v>21</v>
      </c>
      <c r="I205" t="s">
        <v>23</v>
      </c>
      <c r="J205" t="s">
        <v>22</v>
      </c>
    </row>
    <row r="206" spans="1:15">
      <c r="A206" t="s">
        <v>73</v>
      </c>
      <c r="B206">
        <f t="shared" si="10"/>
        <v>3.9032006245121001E-2</v>
      </c>
      <c r="C206">
        <f t="shared" si="11"/>
        <v>0.156128024980484</v>
      </c>
      <c r="D206">
        <v>0.2</v>
      </c>
      <c r="E206" t="s">
        <v>80</v>
      </c>
      <c r="F206" t="s">
        <v>19</v>
      </c>
      <c r="G206" t="s">
        <v>25</v>
      </c>
      <c r="H206" t="s">
        <v>26</v>
      </c>
      <c r="I206" t="s">
        <v>22</v>
      </c>
      <c r="J206" t="s">
        <v>20</v>
      </c>
    </row>
    <row r="207" spans="1:15">
      <c r="A207" t="s">
        <v>73</v>
      </c>
      <c r="B207">
        <f t="shared" si="10"/>
        <v>3.9032006245121001E-2</v>
      </c>
      <c r="C207">
        <f t="shared" si="11"/>
        <v>0.156128024980484</v>
      </c>
      <c r="D207">
        <v>9.9999999999999895E-2</v>
      </c>
      <c r="E207" t="s">
        <v>80</v>
      </c>
      <c r="F207" t="s">
        <v>19</v>
      </c>
      <c r="G207" t="s">
        <v>25</v>
      </c>
      <c r="H207" t="s">
        <v>24</v>
      </c>
      <c r="I207" t="s">
        <v>21</v>
      </c>
      <c r="J207" t="s">
        <v>20</v>
      </c>
    </row>
    <row r="208" spans="1:15">
      <c r="A208" t="s">
        <v>73</v>
      </c>
      <c r="B208">
        <f t="shared" si="10"/>
        <v>3.9032006245121001E-2</v>
      </c>
      <c r="C208">
        <f t="shared" si="11"/>
        <v>0.156128024980484</v>
      </c>
      <c r="D208">
        <v>0</v>
      </c>
      <c r="E208" t="s">
        <v>80</v>
      </c>
      <c r="F208" t="s">
        <v>20</v>
      </c>
      <c r="G208" t="s">
        <v>25</v>
      </c>
      <c r="H208" t="s">
        <v>23</v>
      </c>
      <c r="I208" t="s">
        <v>21</v>
      </c>
      <c r="J208" t="s">
        <v>18</v>
      </c>
    </row>
    <row r="209" spans="1:15">
      <c r="A209" t="s">
        <v>73</v>
      </c>
      <c r="B209">
        <f t="shared" si="10"/>
        <v>3.9032006245121001E-2</v>
      </c>
      <c r="C209">
        <f t="shared" si="11"/>
        <v>0.156128024980484</v>
      </c>
      <c r="D209">
        <v>-0.1</v>
      </c>
      <c r="E209" t="s">
        <v>80</v>
      </c>
      <c r="F209" t="s">
        <v>21</v>
      </c>
      <c r="G209" t="s">
        <v>22</v>
      </c>
      <c r="H209" t="s">
        <v>18</v>
      </c>
      <c r="I209" t="s">
        <v>19</v>
      </c>
      <c r="J209" t="s">
        <v>17</v>
      </c>
    </row>
    <row r="210" spans="1:15">
      <c r="A210" t="s">
        <v>73</v>
      </c>
      <c r="B210">
        <f t="shared" si="10"/>
        <v>3.9032006245121001E-2</v>
      </c>
      <c r="C210">
        <f t="shared" si="11"/>
        <v>0.156128024980484</v>
      </c>
      <c r="D210">
        <v>-0.2</v>
      </c>
      <c r="E210" t="s">
        <v>80</v>
      </c>
      <c r="F210" t="s">
        <v>21</v>
      </c>
      <c r="G210" t="s">
        <v>17</v>
      </c>
      <c r="H210" t="s">
        <v>25</v>
      </c>
      <c r="I210" t="s">
        <v>23</v>
      </c>
      <c r="J210" t="s">
        <v>26</v>
      </c>
    </row>
    <row r="211" spans="1:15">
      <c r="A211" t="s">
        <v>73</v>
      </c>
      <c r="B211">
        <f t="shared" si="10"/>
        <v>3.9032006245121001E-2</v>
      </c>
      <c r="C211">
        <f t="shared" si="11"/>
        <v>0.156128024980484</v>
      </c>
      <c r="D211">
        <v>-0.3</v>
      </c>
      <c r="E211" t="s">
        <v>80</v>
      </c>
      <c r="F211" t="s">
        <v>17</v>
      </c>
      <c r="G211" t="s">
        <v>18</v>
      </c>
      <c r="H211" t="s">
        <v>25</v>
      </c>
      <c r="I211" t="s">
        <v>20</v>
      </c>
      <c r="J211" t="s">
        <v>23</v>
      </c>
    </row>
    <row r="212" spans="1:15">
      <c r="A212" t="s">
        <v>74</v>
      </c>
      <c r="B212">
        <f>1/46.62</f>
        <v>2.145002145002145E-2</v>
      </c>
      <c r="C212">
        <f>4/20.9</f>
        <v>0.19138755980861244</v>
      </c>
      <c r="D212">
        <v>1.7</v>
      </c>
      <c r="E212" t="s">
        <v>80</v>
      </c>
      <c r="F212" t="s">
        <v>20</v>
      </c>
      <c r="G212" t="s">
        <v>19</v>
      </c>
      <c r="H212" t="s">
        <v>18</v>
      </c>
      <c r="I212" t="s">
        <v>23</v>
      </c>
      <c r="J212" t="s">
        <v>22</v>
      </c>
      <c r="K212" t="s">
        <v>20</v>
      </c>
      <c r="M212" t="s">
        <v>18</v>
      </c>
      <c r="N212" t="s">
        <v>23</v>
      </c>
      <c r="O212" t="s">
        <v>22</v>
      </c>
    </row>
    <row r="213" spans="1:15">
      <c r="A213" t="s">
        <v>74</v>
      </c>
      <c r="B213">
        <f t="shared" ref="B213:B232" si="12">1/46.62</f>
        <v>2.145002145002145E-2</v>
      </c>
      <c r="C213">
        <f t="shared" ref="C213:C232" si="13">4/20.9</f>
        <v>0.19138755980861244</v>
      </c>
      <c r="D213">
        <v>1.6</v>
      </c>
      <c r="E213" t="s">
        <v>80</v>
      </c>
      <c r="F213" t="s">
        <v>23</v>
      </c>
      <c r="G213" t="s">
        <v>19</v>
      </c>
      <c r="H213" t="s">
        <v>20</v>
      </c>
      <c r="I213" t="s">
        <v>26</v>
      </c>
      <c r="J213" t="s">
        <v>25</v>
      </c>
      <c r="M213" t="s">
        <v>20</v>
      </c>
      <c r="N213" t="s">
        <v>26</v>
      </c>
      <c r="O213" t="s">
        <v>25</v>
      </c>
    </row>
    <row r="214" spans="1:15">
      <c r="A214" t="s">
        <v>74</v>
      </c>
      <c r="B214">
        <f t="shared" si="12"/>
        <v>2.145002145002145E-2</v>
      </c>
      <c r="C214">
        <f t="shared" si="13"/>
        <v>0.19138755980861244</v>
      </c>
      <c r="D214">
        <v>1.5</v>
      </c>
      <c r="E214" t="s">
        <v>80</v>
      </c>
      <c r="F214" t="s">
        <v>26</v>
      </c>
      <c r="G214" t="s">
        <v>22</v>
      </c>
      <c r="H214" t="s">
        <v>20</v>
      </c>
      <c r="I214" t="s">
        <v>17</v>
      </c>
      <c r="J214" t="s">
        <v>21</v>
      </c>
    </row>
    <row r="215" spans="1:15">
      <c r="A215" t="s">
        <v>74</v>
      </c>
      <c r="B215">
        <f t="shared" si="12"/>
        <v>2.145002145002145E-2</v>
      </c>
      <c r="C215">
        <f t="shared" si="13"/>
        <v>0.19138755980861244</v>
      </c>
      <c r="D215">
        <v>1.4</v>
      </c>
      <c r="E215" t="s">
        <v>80</v>
      </c>
      <c r="F215" t="s">
        <v>21</v>
      </c>
      <c r="G215" t="s">
        <v>24</v>
      </c>
      <c r="H215" t="s">
        <v>26</v>
      </c>
      <c r="I215" t="s">
        <v>25</v>
      </c>
      <c r="J215" t="s">
        <v>19</v>
      </c>
    </row>
    <row r="216" spans="1:15">
      <c r="A216" t="s">
        <v>74</v>
      </c>
      <c r="B216">
        <f t="shared" si="12"/>
        <v>2.145002145002145E-2</v>
      </c>
      <c r="C216">
        <f t="shared" si="13"/>
        <v>0.19138755980861244</v>
      </c>
      <c r="D216">
        <v>1.3</v>
      </c>
      <c r="E216" t="s">
        <v>80</v>
      </c>
      <c r="F216" t="s">
        <v>23</v>
      </c>
      <c r="G216" t="s">
        <v>26</v>
      </c>
      <c r="H216" t="s">
        <v>19</v>
      </c>
      <c r="I216" t="s">
        <v>20</v>
      </c>
      <c r="J216" t="s">
        <v>21</v>
      </c>
    </row>
    <row r="217" spans="1:15">
      <c r="A217" t="s">
        <v>74</v>
      </c>
      <c r="B217">
        <f t="shared" si="12"/>
        <v>2.145002145002145E-2</v>
      </c>
      <c r="C217">
        <f t="shared" si="13"/>
        <v>0.19138755980861244</v>
      </c>
      <c r="D217">
        <v>1.2</v>
      </c>
      <c r="E217" t="s">
        <v>80</v>
      </c>
      <c r="F217" t="s">
        <v>20</v>
      </c>
      <c r="G217" t="s">
        <v>21</v>
      </c>
      <c r="H217" t="s">
        <v>17</v>
      </c>
      <c r="I217" t="s">
        <v>24</v>
      </c>
      <c r="J217" t="s">
        <v>19</v>
      </c>
    </row>
    <row r="218" spans="1:15">
      <c r="A218" t="s">
        <v>74</v>
      </c>
      <c r="B218">
        <f t="shared" si="12"/>
        <v>2.145002145002145E-2</v>
      </c>
      <c r="C218">
        <f t="shared" si="13"/>
        <v>0.19138755980861244</v>
      </c>
      <c r="D218">
        <v>1.1000000000000001</v>
      </c>
      <c r="E218" t="s">
        <v>80</v>
      </c>
      <c r="F218" t="s">
        <v>19</v>
      </c>
      <c r="G218" t="s">
        <v>24</v>
      </c>
      <c r="H218" t="s">
        <v>25</v>
      </c>
      <c r="I218" t="s">
        <v>23</v>
      </c>
      <c r="J218" t="s">
        <v>17</v>
      </c>
    </row>
    <row r="219" spans="1:15">
      <c r="A219" t="s">
        <v>74</v>
      </c>
      <c r="B219">
        <f t="shared" si="12"/>
        <v>2.145002145002145E-2</v>
      </c>
      <c r="C219">
        <f t="shared" si="13"/>
        <v>0.19138755980861244</v>
      </c>
      <c r="D219">
        <v>1</v>
      </c>
      <c r="E219" t="s">
        <v>80</v>
      </c>
      <c r="F219" t="s">
        <v>25</v>
      </c>
      <c r="G219" t="s">
        <v>22</v>
      </c>
      <c r="H219" t="s">
        <v>19</v>
      </c>
      <c r="I219" t="s">
        <v>20</v>
      </c>
      <c r="J219" t="s">
        <v>24</v>
      </c>
    </row>
    <row r="220" spans="1:15">
      <c r="A220" t="s">
        <v>74</v>
      </c>
      <c r="B220">
        <f t="shared" si="12"/>
        <v>2.145002145002145E-2</v>
      </c>
      <c r="C220">
        <f t="shared" si="13"/>
        <v>0.19138755980861244</v>
      </c>
      <c r="D220">
        <v>0.90000000000000102</v>
      </c>
      <c r="E220" t="s">
        <v>80</v>
      </c>
      <c r="F220" t="s">
        <v>24</v>
      </c>
      <c r="G220" t="s">
        <v>23</v>
      </c>
      <c r="H220" t="s">
        <v>21</v>
      </c>
      <c r="I220" t="s">
        <v>18</v>
      </c>
      <c r="J220" t="s">
        <v>20</v>
      </c>
    </row>
    <row r="221" spans="1:15">
      <c r="A221" t="s">
        <v>74</v>
      </c>
      <c r="B221">
        <f t="shared" si="12"/>
        <v>2.145002145002145E-2</v>
      </c>
      <c r="C221">
        <f t="shared" si="13"/>
        <v>0.19138755980861244</v>
      </c>
      <c r="D221">
        <v>0.80000000000000104</v>
      </c>
      <c r="E221" t="s">
        <v>80</v>
      </c>
      <c r="F221" t="s">
        <v>18</v>
      </c>
      <c r="G221" t="s">
        <v>19</v>
      </c>
      <c r="H221" t="s">
        <v>22</v>
      </c>
      <c r="I221" t="s">
        <v>21</v>
      </c>
      <c r="J221" t="s">
        <v>20</v>
      </c>
    </row>
    <row r="222" spans="1:15">
      <c r="A222" t="s">
        <v>74</v>
      </c>
      <c r="B222">
        <f t="shared" si="12"/>
        <v>2.145002145002145E-2</v>
      </c>
      <c r="C222">
        <f t="shared" si="13"/>
        <v>0.19138755980861244</v>
      </c>
      <c r="D222">
        <v>0.70000000000000095</v>
      </c>
      <c r="E222" t="s">
        <v>80</v>
      </c>
      <c r="F222" t="s">
        <v>21</v>
      </c>
      <c r="G222" t="s">
        <v>23</v>
      </c>
      <c r="H222" t="s">
        <v>25</v>
      </c>
      <c r="I222" t="s">
        <v>18</v>
      </c>
      <c r="J222" t="s">
        <v>24</v>
      </c>
    </row>
    <row r="223" spans="1:15">
      <c r="A223" t="s">
        <v>74</v>
      </c>
      <c r="B223">
        <f t="shared" si="12"/>
        <v>2.145002145002145E-2</v>
      </c>
      <c r="C223">
        <f t="shared" si="13"/>
        <v>0.19138755980861244</v>
      </c>
      <c r="D223">
        <v>0.6</v>
      </c>
      <c r="E223" t="s">
        <v>80</v>
      </c>
      <c r="F223" t="s">
        <v>19</v>
      </c>
      <c r="G223" t="s">
        <v>26</v>
      </c>
      <c r="H223" t="s">
        <v>24</v>
      </c>
      <c r="I223" t="s">
        <v>18</v>
      </c>
      <c r="J223" t="s">
        <v>25</v>
      </c>
    </row>
    <row r="224" spans="1:15">
      <c r="A224" t="s">
        <v>74</v>
      </c>
      <c r="B224">
        <f t="shared" si="12"/>
        <v>2.145002145002145E-2</v>
      </c>
      <c r="C224">
        <f t="shared" si="13"/>
        <v>0.19138755980861244</v>
      </c>
      <c r="D224">
        <v>0.5</v>
      </c>
      <c r="E224" t="s">
        <v>80</v>
      </c>
      <c r="F224" t="s">
        <v>26</v>
      </c>
      <c r="G224" t="s">
        <v>24</v>
      </c>
      <c r="H224" t="s">
        <v>18</v>
      </c>
      <c r="I224" t="s">
        <v>17</v>
      </c>
      <c r="J224" t="s">
        <v>23</v>
      </c>
    </row>
    <row r="225" spans="1:15">
      <c r="A225" t="s">
        <v>74</v>
      </c>
      <c r="B225">
        <f t="shared" si="12"/>
        <v>2.145002145002145E-2</v>
      </c>
      <c r="C225">
        <f t="shared" si="13"/>
        <v>0.19138755980861244</v>
      </c>
      <c r="D225">
        <v>0.4</v>
      </c>
      <c r="E225" t="s">
        <v>80</v>
      </c>
      <c r="F225" t="s">
        <v>19</v>
      </c>
      <c r="G225" t="s">
        <v>25</v>
      </c>
      <c r="H225" t="s">
        <v>17</v>
      </c>
      <c r="I225" t="s">
        <v>26</v>
      </c>
      <c r="J225" t="s">
        <v>20</v>
      </c>
    </row>
    <row r="226" spans="1:15">
      <c r="A226" t="s">
        <v>74</v>
      </c>
      <c r="B226">
        <f t="shared" si="12"/>
        <v>2.145002145002145E-2</v>
      </c>
      <c r="C226">
        <f t="shared" si="13"/>
        <v>0.19138755980861244</v>
      </c>
      <c r="D226">
        <v>0.3</v>
      </c>
      <c r="E226" t="s">
        <v>80</v>
      </c>
      <c r="F226" t="s">
        <v>22</v>
      </c>
      <c r="G226" t="s">
        <v>25</v>
      </c>
      <c r="H226" t="s">
        <v>17</v>
      </c>
      <c r="I226" t="s">
        <v>21</v>
      </c>
      <c r="J226" t="s">
        <v>20</v>
      </c>
    </row>
    <row r="227" spans="1:15">
      <c r="A227" t="s">
        <v>74</v>
      </c>
      <c r="B227">
        <f t="shared" si="12"/>
        <v>2.145002145002145E-2</v>
      </c>
      <c r="C227">
        <f t="shared" si="13"/>
        <v>0.19138755980861244</v>
      </c>
      <c r="D227">
        <v>0.2</v>
      </c>
      <c r="E227" t="s">
        <v>80</v>
      </c>
      <c r="F227" t="s">
        <v>22</v>
      </c>
      <c r="G227" t="s">
        <v>19</v>
      </c>
      <c r="H227" t="s">
        <v>18</v>
      </c>
      <c r="I227" t="s">
        <v>23</v>
      </c>
      <c r="J227" t="s">
        <v>21</v>
      </c>
    </row>
    <row r="228" spans="1:15">
      <c r="A228" t="s">
        <v>74</v>
      </c>
      <c r="B228">
        <f t="shared" si="12"/>
        <v>2.145002145002145E-2</v>
      </c>
      <c r="C228">
        <f t="shared" si="13"/>
        <v>0.19138755980861244</v>
      </c>
      <c r="D228">
        <v>9.9999999999999895E-2</v>
      </c>
      <c r="E228" t="s">
        <v>80</v>
      </c>
      <c r="F228" t="s">
        <v>23</v>
      </c>
      <c r="G228" t="s">
        <v>25</v>
      </c>
      <c r="H228" t="s">
        <v>26</v>
      </c>
      <c r="I228" t="s">
        <v>21</v>
      </c>
      <c r="J228" t="s">
        <v>22</v>
      </c>
    </row>
    <row r="229" spans="1:15">
      <c r="A229" t="s">
        <v>74</v>
      </c>
      <c r="B229">
        <f t="shared" si="12"/>
        <v>2.145002145002145E-2</v>
      </c>
      <c r="C229">
        <f t="shared" si="13"/>
        <v>0.19138755980861244</v>
      </c>
      <c r="D229">
        <v>0</v>
      </c>
      <c r="E229" t="s">
        <v>80</v>
      </c>
      <c r="F229" t="s">
        <v>23</v>
      </c>
      <c r="G229" t="s">
        <v>22</v>
      </c>
      <c r="H229" t="s">
        <v>19</v>
      </c>
      <c r="I229" t="s">
        <v>18</v>
      </c>
      <c r="J229" t="s">
        <v>25</v>
      </c>
    </row>
    <row r="230" spans="1:15">
      <c r="A230" t="s">
        <v>74</v>
      </c>
      <c r="B230">
        <f t="shared" si="12"/>
        <v>2.145002145002145E-2</v>
      </c>
      <c r="C230">
        <f t="shared" si="13"/>
        <v>0.19138755980861244</v>
      </c>
      <c r="D230">
        <v>-0.1</v>
      </c>
      <c r="E230" t="s">
        <v>80</v>
      </c>
      <c r="F230" t="s">
        <v>17</v>
      </c>
      <c r="G230" t="s">
        <v>18</v>
      </c>
      <c r="H230" t="s">
        <v>24</v>
      </c>
      <c r="I230" t="s">
        <v>23</v>
      </c>
      <c r="J230" t="s">
        <v>25</v>
      </c>
    </row>
    <row r="231" spans="1:15">
      <c r="A231" t="s">
        <v>74</v>
      </c>
      <c r="B231">
        <f t="shared" si="12"/>
        <v>2.145002145002145E-2</v>
      </c>
      <c r="C231">
        <f t="shared" si="13"/>
        <v>0.19138755980861244</v>
      </c>
      <c r="D231">
        <v>-0.2</v>
      </c>
      <c r="E231" t="s">
        <v>80</v>
      </c>
      <c r="F231" t="s">
        <v>24</v>
      </c>
      <c r="G231" t="s">
        <v>18</v>
      </c>
      <c r="H231" t="s">
        <v>26</v>
      </c>
      <c r="I231" t="s">
        <v>21</v>
      </c>
      <c r="J231" t="s">
        <v>23</v>
      </c>
    </row>
    <row r="232" spans="1:15">
      <c r="A232" t="s">
        <v>74</v>
      </c>
      <c r="B232">
        <f t="shared" si="12"/>
        <v>2.145002145002145E-2</v>
      </c>
      <c r="C232">
        <f t="shared" si="13"/>
        <v>0.19138755980861244</v>
      </c>
      <c r="D232">
        <v>-0.3</v>
      </c>
      <c r="E232" t="s">
        <v>80</v>
      </c>
      <c r="F232" t="s">
        <v>26</v>
      </c>
      <c r="G232" t="s">
        <v>22</v>
      </c>
      <c r="H232" t="s">
        <v>19</v>
      </c>
      <c r="I232" t="s">
        <v>20</v>
      </c>
      <c r="J232" t="s">
        <v>24</v>
      </c>
    </row>
    <row r="233" spans="1:15">
      <c r="A233" t="s">
        <v>75</v>
      </c>
      <c r="B233">
        <f>1/2.3</f>
        <v>0.43478260869565222</v>
      </c>
      <c r="C233">
        <f>1/16/2.3</f>
        <v>2.7173913043478264E-2</v>
      </c>
      <c r="D233">
        <v>1.7</v>
      </c>
      <c r="E233" t="s">
        <v>80</v>
      </c>
      <c r="F233" t="s">
        <v>18</v>
      </c>
      <c r="G233" t="s">
        <v>22</v>
      </c>
      <c r="H233" t="s">
        <v>24</v>
      </c>
      <c r="I233" t="s">
        <v>20</v>
      </c>
      <c r="J233" t="s">
        <v>21</v>
      </c>
      <c r="K233" t="s">
        <v>18</v>
      </c>
      <c r="L233" t="s">
        <v>22</v>
      </c>
      <c r="M233" t="s">
        <v>24</v>
      </c>
      <c r="N233" t="s">
        <v>20</v>
      </c>
      <c r="O233" t="s">
        <v>21</v>
      </c>
    </row>
    <row r="234" spans="1:15">
      <c r="A234" t="s">
        <v>75</v>
      </c>
      <c r="B234">
        <f t="shared" ref="B234:B253" si="14">1/2.3</f>
        <v>0.43478260869565222</v>
      </c>
      <c r="C234">
        <f t="shared" ref="C234:C253" si="15">1/16/2.3</f>
        <v>2.7173913043478264E-2</v>
      </c>
      <c r="D234">
        <v>1.6</v>
      </c>
      <c r="E234" t="s">
        <v>80</v>
      </c>
      <c r="F234" t="s">
        <v>20</v>
      </c>
      <c r="G234" t="s">
        <v>25</v>
      </c>
      <c r="H234" t="s">
        <v>19</v>
      </c>
      <c r="I234" t="s">
        <v>22</v>
      </c>
      <c r="J234" t="s">
        <v>18</v>
      </c>
      <c r="K234" t="s">
        <v>20</v>
      </c>
      <c r="L234" t="s">
        <v>25</v>
      </c>
      <c r="M234" t="s">
        <v>19</v>
      </c>
      <c r="N234" t="s">
        <v>22</v>
      </c>
      <c r="O234" t="s">
        <v>18</v>
      </c>
    </row>
    <row r="235" spans="1:15">
      <c r="A235" t="s">
        <v>75</v>
      </c>
      <c r="B235">
        <f t="shared" si="14"/>
        <v>0.43478260869565222</v>
      </c>
      <c r="C235">
        <f t="shared" si="15"/>
        <v>2.7173913043478264E-2</v>
      </c>
      <c r="D235">
        <v>1.5</v>
      </c>
      <c r="E235" t="s">
        <v>80</v>
      </c>
      <c r="F235" t="s">
        <v>18</v>
      </c>
      <c r="G235" t="s">
        <v>21</v>
      </c>
      <c r="H235" t="s">
        <v>25</v>
      </c>
      <c r="I235" t="s">
        <v>20</v>
      </c>
      <c r="J235" t="s">
        <v>24</v>
      </c>
      <c r="K235" t="s">
        <v>18</v>
      </c>
      <c r="L235" t="s">
        <v>21</v>
      </c>
      <c r="M235" t="s">
        <v>25</v>
      </c>
      <c r="N235" t="s">
        <v>20</v>
      </c>
      <c r="O235" t="s">
        <v>24</v>
      </c>
    </row>
    <row r="236" spans="1:15">
      <c r="A236" t="s">
        <v>75</v>
      </c>
      <c r="B236">
        <f t="shared" si="14"/>
        <v>0.43478260869565222</v>
      </c>
      <c r="C236">
        <f t="shared" si="15"/>
        <v>2.7173913043478264E-2</v>
      </c>
      <c r="D236">
        <v>1.4</v>
      </c>
      <c r="E236" t="s">
        <v>80</v>
      </c>
      <c r="F236" t="s">
        <v>26</v>
      </c>
      <c r="G236" t="s">
        <v>25</v>
      </c>
      <c r="H236" t="s">
        <v>22</v>
      </c>
      <c r="I236" t="s">
        <v>19</v>
      </c>
      <c r="J236" t="s">
        <v>23</v>
      </c>
      <c r="K236" t="s">
        <v>26</v>
      </c>
      <c r="L236" t="s">
        <v>25</v>
      </c>
      <c r="M236" t="s">
        <v>22</v>
      </c>
      <c r="N236" t="s">
        <v>19</v>
      </c>
      <c r="O236" t="s">
        <v>23</v>
      </c>
    </row>
    <row r="237" spans="1:15">
      <c r="A237" t="s">
        <v>75</v>
      </c>
      <c r="B237">
        <f t="shared" si="14"/>
        <v>0.43478260869565222</v>
      </c>
      <c r="C237">
        <f t="shared" si="15"/>
        <v>2.7173913043478264E-2</v>
      </c>
      <c r="D237">
        <v>1.3</v>
      </c>
      <c r="E237" t="s">
        <v>80</v>
      </c>
      <c r="F237" t="s">
        <v>24</v>
      </c>
      <c r="G237" t="s">
        <v>23</v>
      </c>
      <c r="H237" t="s">
        <v>19</v>
      </c>
      <c r="I237" t="s">
        <v>17</v>
      </c>
      <c r="J237" t="s">
        <v>18</v>
      </c>
      <c r="K237" t="s">
        <v>24</v>
      </c>
      <c r="L237" t="s">
        <v>23</v>
      </c>
      <c r="M237" t="s">
        <v>19</v>
      </c>
      <c r="N237" t="s">
        <v>17</v>
      </c>
      <c r="O237" t="s">
        <v>18</v>
      </c>
    </row>
    <row r="238" spans="1:15">
      <c r="A238" t="s">
        <v>75</v>
      </c>
      <c r="B238">
        <f t="shared" si="14"/>
        <v>0.43478260869565222</v>
      </c>
      <c r="C238">
        <f t="shared" si="15"/>
        <v>2.7173913043478264E-2</v>
      </c>
      <c r="D238">
        <v>1.2</v>
      </c>
      <c r="E238" t="s">
        <v>80</v>
      </c>
      <c r="F238" t="s">
        <v>26</v>
      </c>
      <c r="G238" t="s">
        <v>19</v>
      </c>
      <c r="H238" t="s">
        <v>24</v>
      </c>
      <c r="I238" t="s">
        <v>23</v>
      </c>
      <c r="J238" t="s">
        <v>17</v>
      </c>
      <c r="K238" t="s">
        <v>26</v>
      </c>
      <c r="L238" t="s">
        <v>19</v>
      </c>
      <c r="M238" t="s">
        <v>24</v>
      </c>
      <c r="N238" t="s">
        <v>23</v>
      </c>
      <c r="O238" t="s">
        <v>17</v>
      </c>
    </row>
    <row r="239" spans="1:15">
      <c r="A239" t="s">
        <v>75</v>
      </c>
      <c r="B239">
        <f t="shared" si="14"/>
        <v>0.43478260869565222</v>
      </c>
      <c r="C239">
        <f t="shared" si="15"/>
        <v>2.7173913043478264E-2</v>
      </c>
      <c r="D239">
        <v>1.1000000000000001</v>
      </c>
      <c r="E239" t="s">
        <v>80</v>
      </c>
      <c r="F239" t="s">
        <v>22</v>
      </c>
      <c r="G239" t="s">
        <v>20</v>
      </c>
      <c r="H239" t="s">
        <v>18</v>
      </c>
      <c r="I239" t="s">
        <v>17</v>
      </c>
      <c r="J239" t="s">
        <v>26</v>
      </c>
      <c r="K239" t="s">
        <v>22</v>
      </c>
      <c r="L239" t="s">
        <v>20</v>
      </c>
      <c r="M239" t="s">
        <v>18</v>
      </c>
      <c r="N239" t="s">
        <v>17</v>
      </c>
      <c r="O239" t="s">
        <v>26</v>
      </c>
    </row>
    <row r="240" spans="1:15">
      <c r="A240" t="s">
        <v>75</v>
      </c>
      <c r="B240">
        <f t="shared" si="14"/>
        <v>0.43478260869565222</v>
      </c>
      <c r="C240">
        <f t="shared" si="15"/>
        <v>2.7173913043478264E-2</v>
      </c>
      <c r="D240">
        <v>1</v>
      </c>
      <c r="E240" t="s">
        <v>80</v>
      </c>
      <c r="F240" t="s">
        <v>20</v>
      </c>
      <c r="G240" t="s">
        <v>19</v>
      </c>
      <c r="H240" t="s">
        <v>17</v>
      </c>
      <c r="I240" t="s">
        <v>23</v>
      </c>
      <c r="J240" t="s">
        <v>18</v>
      </c>
      <c r="K240" t="s">
        <v>20</v>
      </c>
      <c r="L240" t="s">
        <v>19</v>
      </c>
      <c r="M240" t="s">
        <v>17</v>
      </c>
      <c r="N240" t="s">
        <v>23</v>
      </c>
      <c r="O240" t="s">
        <v>18</v>
      </c>
    </row>
    <row r="241" spans="1:15">
      <c r="A241" t="s">
        <v>75</v>
      </c>
      <c r="B241">
        <f t="shared" si="14"/>
        <v>0.43478260869565222</v>
      </c>
      <c r="C241">
        <f t="shared" si="15"/>
        <v>2.7173913043478264E-2</v>
      </c>
      <c r="D241">
        <v>0.90000000000000102</v>
      </c>
      <c r="E241" t="s">
        <v>80</v>
      </c>
      <c r="F241" t="s">
        <v>18</v>
      </c>
      <c r="G241" t="s">
        <v>17</v>
      </c>
      <c r="H241" t="s">
        <v>22</v>
      </c>
      <c r="I241" t="s">
        <v>23</v>
      </c>
      <c r="J241" t="s">
        <v>24</v>
      </c>
      <c r="K241" t="s">
        <v>18</v>
      </c>
      <c r="L241" t="s">
        <v>17</v>
      </c>
      <c r="M241" t="s">
        <v>22</v>
      </c>
      <c r="N241" t="s">
        <v>23</v>
      </c>
      <c r="O241" t="s">
        <v>24</v>
      </c>
    </row>
    <row r="242" spans="1:15">
      <c r="A242" t="s">
        <v>75</v>
      </c>
      <c r="B242">
        <f t="shared" si="14"/>
        <v>0.43478260869565222</v>
      </c>
      <c r="C242">
        <f t="shared" si="15"/>
        <v>2.7173913043478264E-2</v>
      </c>
      <c r="D242">
        <v>0.80000000000000104</v>
      </c>
      <c r="E242" t="s">
        <v>80</v>
      </c>
      <c r="F242" t="s">
        <v>23</v>
      </c>
      <c r="G242" t="s">
        <v>20</v>
      </c>
      <c r="H242" t="s">
        <v>25</v>
      </c>
      <c r="I242" t="s">
        <v>24</v>
      </c>
      <c r="J242" t="s">
        <v>26</v>
      </c>
      <c r="K242" t="s">
        <v>23</v>
      </c>
      <c r="L242" t="s">
        <v>20</v>
      </c>
      <c r="M242" t="s">
        <v>25</v>
      </c>
      <c r="N242" t="s">
        <v>24</v>
      </c>
      <c r="O242" t="s">
        <v>26</v>
      </c>
    </row>
    <row r="243" spans="1:15">
      <c r="A243" t="s">
        <v>75</v>
      </c>
      <c r="B243">
        <f t="shared" si="14"/>
        <v>0.43478260869565222</v>
      </c>
      <c r="C243">
        <f t="shared" si="15"/>
        <v>2.7173913043478264E-2</v>
      </c>
      <c r="D243">
        <v>0.70000000000000095</v>
      </c>
      <c r="E243" t="s">
        <v>80</v>
      </c>
      <c r="F243" t="s">
        <v>19</v>
      </c>
      <c r="G243" t="s">
        <v>22</v>
      </c>
      <c r="H243" t="s">
        <v>18</v>
      </c>
      <c r="I243" t="s">
        <v>23</v>
      </c>
      <c r="J243" t="s">
        <v>17</v>
      </c>
      <c r="K243" t="s">
        <v>19</v>
      </c>
      <c r="L243" t="s">
        <v>22</v>
      </c>
      <c r="M243" t="s">
        <v>18</v>
      </c>
      <c r="N243" t="s">
        <v>23</v>
      </c>
      <c r="O243" t="s">
        <v>17</v>
      </c>
    </row>
    <row r="244" spans="1:15">
      <c r="A244" t="s">
        <v>75</v>
      </c>
      <c r="B244">
        <f t="shared" si="14"/>
        <v>0.43478260869565222</v>
      </c>
      <c r="C244">
        <f t="shared" si="15"/>
        <v>2.7173913043478264E-2</v>
      </c>
      <c r="D244">
        <v>0.6</v>
      </c>
      <c r="E244" t="s">
        <v>80</v>
      </c>
      <c r="F244" t="s">
        <v>21</v>
      </c>
      <c r="G244" t="s">
        <v>25</v>
      </c>
      <c r="H244" t="s">
        <v>20</v>
      </c>
      <c r="I244" t="s">
        <v>19</v>
      </c>
      <c r="J244" t="s">
        <v>17</v>
      </c>
      <c r="K244" t="s">
        <v>21</v>
      </c>
      <c r="L244" t="s">
        <v>25</v>
      </c>
      <c r="M244" t="s">
        <v>20</v>
      </c>
      <c r="N244" t="s">
        <v>19</v>
      </c>
      <c r="O244" t="s">
        <v>17</v>
      </c>
    </row>
    <row r="245" spans="1:15">
      <c r="A245" t="s">
        <v>75</v>
      </c>
      <c r="B245">
        <f t="shared" si="14"/>
        <v>0.43478260869565222</v>
      </c>
      <c r="C245">
        <f t="shared" si="15"/>
        <v>2.7173913043478264E-2</v>
      </c>
      <c r="D245">
        <v>0.5</v>
      </c>
      <c r="E245" t="s">
        <v>80</v>
      </c>
      <c r="F245" t="s">
        <v>21</v>
      </c>
      <c r="G245" t="s">
        <v>22</v>
      </c>
      <c r="H245" t="s">
        <v>19</v>
      </c>
      <c r="I245" t="s">
        <v>24</v>
      </c>
      <c r="J245" t="s">
        <v>17</v>
      </c>
      <c r="L245" t="s">
        <v>22</v>
      </c>
      <c r="M245" t="s">
        <v>19</v>
      </c>
      <c r="N245" t="s">
        <v>24</v>
      </c>
      <c r="O245" t="s">
        <v>17</v>
      </c>
    </row>
    <row r="246" spans="1:15">
      <c r="A246" t="s">
        <v>75</v>
      </c>
      <c r="B246">
        <f t="shared" si="14"/>
        <v>0.43478260869565222</v>
      </c>
      <c r="C246">
        <f t="shared" si="15"/>
        <v>2.7173913043478264E-2</v>
      </c>
      <c r="D246">
        <v>0.4</v>
      </c>
      <c r="E246" t="s">
        <v>80</v>
      </c>
      <c r="F246" t="s">
        <v>26</v>
      </c>
      <c r="G246" t="s">
        <v>19</v>
      </c>
      <c r="H246" t="s">
        <v>22</v>
      </c>
      <c r="I246" t="s">
        <v>23</v>
      </c>
      <c r="J246" t="s">
        <v>21</v>
      </c>
      <c r="K246" t="s">
        <v>26</v>
      </c>
      <c r="M246" t="s">
        <v>22</v>
      </c>
      <c r="N246" t="s">
        <v>23</v>
      </c>
      <c r="O246" t="s">
        <v>21</v>
      </c>
    </row>
    <row r="247" spans="1:15">
      <c r="A247" t="s">
        <v>75</v>
      </c>
      <c r="B247">
        <f t="shared" si="14"/>
        <v>0.43478260869565222</v>
      </c>
      <c r="C247">
        <f t="shared" si="15"/>
        <v>2.7173913043478264E-2</v>
      </c>
      <c r="D247">
        <v>0.3</v>
      </c>
      <c r="E247" t="s">
        <v>80</v>
      </c>
      <c r="F247" t="s">
        <v>26</v>
      </c>
      <c r="G247" t="s">
        <v>21</v>
      </c>
      <c r="H247" t="s">
        <v>24</v>
      </c>
      <c r="I247" t="s">
        <v>20</v>
      </c>
      <c r="J247" t="s">
        <v>19</v>
      </c>
    </row>
    <row r="248" spans="1:15">
      <c r="A248" t="s">
        <v>75</v>
      </c>
      <c r="B248">
        <f t="shared" si="14"/>
        <v>0.43478260869565222</v>
      </c>
      <c r="C248">
        <f t="shared" si="15"/>
        <v>2.7173913043478264E-2</v>
      </c>
      <c r="D248">
        <v>0.2</v>
      </c>
      <c r="E248" t="s">
        <v>80</v>
      </c>
      <c r="F248" t="s">
        <v>19</v>
      </c>
      <c r="G248" t="s">
        <v>18</v>
      </c>
      <c r="H248" t="s">
        <v>25</v>
      </c>
      <c r="I248" t="s">
        <v>21</v>
      </c>
      <c r="J248" t="s">
        <v>23</v>
      </c>
    </row>
    <row r="249" spans="1:15">
      <c r="A249" t="s">
        <v>75</v>
      </c>
      <c r="B249">
        <f t="shared" si="14"/>
        <v>0.43478260869565222</v>
      </c>
      <c r="C249">
        <f t="shared" si="15"/>
        <v>2.7173913043478264E-2</v>
      </c>
      <c r="D249">
        <v>9.9999999999999895E-2</v>
      </c>
      <c r="E249" t="s">
        <v>80</v>
      </c>
      <c r="F249" t="s">
        <v>22</v>
      </c>
      <c r="G249" t="s">
        <v>26</v>
      </c>
      <c r="H249" t="s">
        <v>21</v>
      </c>
      <c r="I249" t="s">
        <v>19</v>
      </c>
      <c r="J249" t="s">
        <v>20</v>
      </c>
    </row>
    <row r="250" spans="1:15">
      <c r="A250" t="s">
        <v>75</v>
      </c>
      <c r="B250">
        <f t="shared" si="14"/>
        <v>0.43478260869565222</v>
      </c>
      <c r="C250">
        <f t="shared" si="15"/>
        <v>2.7173913043478264E-2</v>
      </c>
      <c r="D250">
        <v>0</v>
      </c>
      <c r="E250" t="s">
        <v>80</v>
      </c>
      <c r="F250" t="s">
        <v>18</v>
      </c>
      <c r="G250" t="s">
        <v>23</v>
      </c>
      <c r="H250" t="s">
        <v>21</v>
      </c>
      <c r="I250" t="s">
        <v>17</v>
      </c>
      <c r="J250" t="s">
        <v>19</v>
      </c>
    </row>
    <row r="251" spans="1:15">
      <c r="A251" t="s">
        <v>75</v>
      </c>
      <c r="B251">
        <f t="shared" si="14"/>
        <v>0.43478260869565222</v>
      </c>
      <c r="C251">
        <f t="shared" si="15"/>
        <v>2.7173913043478264E-2</v>
      </c>
      <c r="D251">
        <v>-0.1</v>
      </c>
      <c r="E251" t="s">
        <v>80</v>
      </c>
      <c r="F251" t="s">
        <v>18</v>
      </c>
      <c r="G251" t="s">
        <v>25</v>
      </c>
      <c r="H251" t="s">
        <v>26</v>
      </c>
      <c r="I251" t="s">
        <v>17</v>
      </c>
      <c r="J251" t="s">
        <v>22</v>
      </c>
    </row>
    <row r="252" spans="1:15">
      <c r="A252" t="s">
        <v>75</v>
      </c>
      <c r="B252">
        <f t="shared" si="14"/>
        <v>0.43478260869565222</v>
      </c>
      <c r="C252">
        <f t="shared" si="15"/>
        <v>2.7173913043478264E-2</v>
      </c>
      <c r="D252">
        <v>-0.2</v>
      </c>
      <c r="E252" t="s">
        <v>80</v>
      </c>
      <c r="F252" t="s">
        <v>19</v>
      </c>
      <c r="G252" t="s">
        <v>25</v>
      </c>
      <c r="H252" t="s">
        <v>17</v>
      </c>
      <c r="I252" t="s">
        <v>22</v>
      </c>
      <c r="J252" t="s">
        <v>20</v>
      </c>
    </row>
    <row r="253" spans="1:15">
      <c r="A253" t="s">
        <v>75</v>
      </c>
      <c r="B253">
        <f t="shared" si="14"/>
        <v>0.43478260869565222</v>
      </c>
      <c r="C253">
        <f t="shared" si="15"/>
        <v>2.7173913043478264E-2</v>
      </c>
      <c r="D253">
        <v>-0.3</v>
      </c>
      <c r="E253" t="s">
        <v>80</v>
      </c>
      <c r="F253" t="s">
        <v>22</v>
      </c>
      <c r="G253" t="s">
        <v>21</v>
      </c>
      <c r="H253" t="s">
        <v>25</v>
      </c>
      <c r="I253" t="s">
        <v>19</v>
      </c>
      <c r="J253" t="s">
        <v>17</v>
      </c>
    </row>
    <row r="254" spans="1:15">
      <c r="A254" t="s">
        <v>76</v>
      </c>
      <c r="B254">
        <f>1/3.95</f>
        <v>0.25316455696202528</v>
      </c>
      <c r="C254">
        <f>1/16/3.95</f>
        <v>1.582278481012658E-2</v>
      </c>
      <c r="D254">
        <v>1.7</v>
      </c>
      <c r="E254" t="s">
        <v>80</v>
      </c>
      <c r="F254" t="s">
        <v>25</v>
      </c>
      <c r="G254" t="s">
        <v>17</v>
      </c>
      <c r="H254" t="s">
        <v>24</v>
      </c>
      <c r="I254" t="s">
        <v>26</v>
      </c>
      <c r="J254" t="s">
        <v>22</v>
      </c>
      <c r="K254" t="s">
        <v>25</v>
      </c>
      <c r="L254" t="s">
        <v>17</v>
      </c>
      <c r="M254" t="s">
        <v>24</v>
      </c>
      <c r="N254" t="s">
        <v>26</v>
      </c>
      <c r="O254" t="s">
        <v>22</v>
      </c>
    </row>
    <row r="255" spans="1:15">
      <c r="A255" t="s">
        <v>76</v>
      </c>
      <c r="B255">
        <f t="shared" ref="B255:B274" si="16">1/3.95</f>
        <v>0.25316455696202528</v>
      </c>
      <c r="C255">
        <f t="shared" ref="C255:C274" si="17">1/16/3.95</f>
        <v>1.582278481012658E-2</v>
      </c>
      <c r="D255">
        <v>1.6</v>
      </c>
      <c r="E255" t="s">
        <v>80</v>
      </c>
      <c r="F255" t="s">
        <v>24</v>
      </c>
      <c r="G255" t="s">
        <v>20</v>
      </c>
      <c r="H255" t="s">
        <v>22</v>
      </c>
      <c r="I255" t="s">
        <v>21</v>
      </c>
      <c r="J255" t="s">
        <v>17</v>
      </c>
      <c r="K255" t="s">
        <v>24</v>
      </c>
      <c r="L255" t="s">
        <v>20</v>
      </c>
      <c r="M255" t="s">
        <v>22</v>
      </c>
      <c r="N255" t="s">
        <v>21</v>
      </c>
      <c r="O255" t="s">
        <v>17</v>
      </c>
    </row>
    <row r="256" spans="1:15">
      <c r="A256" t="s">
        <v>76</v>
      </c>
      <c r="B256">
        <f t="shared" si="16"/>
        <v>0.25316455696202528</v>
      </c>
      <c r="C256">
        <f t="shared" si="17"/>
        <v>1.582278481012658E-2</v>
      </c>
      <c r="D256">
        <v>1.5</v>
      </c>
      <c r="E256" t="s">
        <v>80</v>
      </c>
      <c r="F256" t="s">
        <v>22</v>
      </c>
      <c r="G256" t="s">
        <v>26</v>
      </c>
      <c r="H256" t="s">
        <v>23</v>
      </c>
      <c r="I256" t="s">
        <v>21</v>
      </c>
      <c r="J256" t="s">
        <v>25</v>
      </c>
      <c r="K256" t="s">
        <v>22</v>
      </c>
      <c r="L256" t="s">
        <v>26</v>
      </c>
      <c r="M256" t="s">
        <v>23</v>
      </c>
      <c r="N256" t="s">
        <v>21</v>
      </c>
      <c r="O256" t="s">
        <v>25</v>
      </c>
    </row>
    <row r="257" spans="1:15">
      <c r="A257" t="s">
        <v>76</v>
      </c>
      <c r="B257">
        <f t="shared" si="16"/>
        <v>0.25316455696202528</v>
      </c>
      <c r="C257">
        <f t="shared" si="17"/>
        <v>1.582278481012658E-2</v>
      </c>
      <c r="D257">
        <v>1.4</v>
      </c>
      <c r="E257" t="s">
        <v>80</v>
      </c>
      <c r="F257" t="s">
        <v>23</v>
      </c>
      <c r="G257" t="s">
        <v>20</v>
      </c>
      <c r="H257" t="s">
        <v>17</v>
      </c>
      <c r="I257" t="s">
        <v>24</v>
      </c>
      <c r="J257" t="s">
        <v>25</v>
      </c>
      <c r="K257" t="s">
        <v>23</v>
      </c>
      <c r="L257" t="s">
        <v>20</v>
      </c>
      <c r="M257" t="s">
        <v>17</v>
      </c>
      <c r="N257" t="s">
        <v>24</v>
      </c>
      <c r="O257" t="s">
        <v>25</v>
      </c>
    </row>
    <row r="258" spans="1:15">
      <c r="A258" t="s">
        <v>76</v>
      </c>
      <c r="B258">
        <f t="shared" si="16"/>
        <v>0.25316455696202528</v>
      </c>
      <c r="C258">
        <f t="shared" si="17"/>
        <v>1.582278481012658E-2</v>
      </c>
      <c r="D258">
        <v>1.3</v>
      </c>
      <c r="E258" t="s">
        <v>80</v>
      </c>
      <c r="F258" t="s">
        <v>26</v>
      </c>
      <c r="G258" t="s">
        <v>20</v>
      </c>
      <c r="H258" t="s">
        <v>24</v>
      </c>
      <c r="I258" t="s">
        <v>18</v>
      </c>
      <c r="J258" t="s">
        <v>25</v>
      </c>
      <c r="K258" t="s">
        <v>26</v>
      </c>
      <c r="L258" t="s">
        <v>20</v>
      </c>
      <c r="M258" t="s">
        <v>24</v>
      </c>
      <c r="N258" t="s">
        <v>18</v>
      </c>
      <c r="O258" t="s">
        <v>25</v>
      </c>
    </row>
    <row r="259" spans="1:15">
      <c r="A259" t="s">
        <v>76</v>
      </c>
      <c r="B259">
        <f t="shared" si="16"/>
        <v>0.25316455696202528</v>
      </c>
      <c r="C259">
        <f t="shared" si="17"/>
        <v>1.582278481012658E-2</v>
      </c>
      <c r="D259">
        <v>1.2</v>
      </c>
      <c r="E259" t="s">
        <v>80</v>
      </c>
      <c r="F259" t="s">
        <v>19</v>
      </c>
      <c r="G259" t="s">
        <v>21</v>
      </c>
      <c r="H259" t="s">
        <v>20</v>
      </c>
      <c r="I259" t="s">
        <v>24</v>
      </c>
      <c r="J259" t="s">
        <v>18</v>
      </c>
      <c r="K259" t="s">
        <v>19</v>
      </c>
      <c r="L259" t="s">
        <v>21</v>
      </c>
      <c r="M259" t="s">
        <v>20</v>
      </c>
      <c r="N259" t="s">
        <v>24</v>
      </c>
      <c r="O259" t="s">
        <v>18</v>
      </c>
    </row>
    <row r="260" spans="1:15">
      <c r="A260" t="s">
        <v>76</v>
      </c>
      <c r="B260">
        <f t="shared" si="16"/>
        <v>0.25316455696202528</v>
      </c>
      <c r="C260">
        <f t="shared" si="17"/>
        <v>1.582278481012658E-2</v>
      </c>
      <c r="D260">
        <v>1.1000000000000001</v>
      </c>
      <c r="E260" t="s">
        <v>80</v>
      </c>
      <c r="F260" t="s">
        <v>26</v>
      </c>
      <c r="G260" t="s">
        <v>19</v>
      </c>
      <c r="H260" t="s">
        <v>20</v>
      </c>
      <c r="I260" t="s">
        <v>24</v>
      </c>
      <c r="J260" t="s">
        <v>25</v>
      </c>
      <c r="K260" t="s">
        <v>26</v>
      </c>
      <c r="L260" t="s">
        <v>19</v>
      </c>
      <c r="M260" t="s">
        <v>20</v>
      </c>
      <c r="N260" t="s">
        <v>24</v>
      </c>
      <c r="O260" t="s">
        <v>25</v>
      </c>
    </row>
    <row r="261" spans="1:15">
      <c r="A261" t="s">
        <v>76</v>
      </c>
      <c r="B261">
        <f t="shared" si="16"/>
        <v>0.25316455696202528</v>
      </c>
      <c r="C261">
        <f t="shared" si="17"/>
        <v>1.582278481012658E-2</v>
      </c>
      <c r="D261">
        <v>1</v>
      </c>
      <c r="E261" t="s">
        <v>80</v>
      </c>
      <c r="F261" t="s">
        <v>23</v>
      </c>
      <c r="G261" t="s">
        <v>18</v>
      </c>
      <c r="H261" t="s">
        <v>26</v>
      </c>
      <c r="I261" t="s">
        <v>24</v>
      </c>
      <c r="J261" t="s">
        <v>20</v>
      </c>
      <c r="K261" t="s">
        <v>23</v>
      </c>
      <c r="L261" t="s">
        <v>18</v>
      </c>
      <c r="M261" t="s">
        <v>26</v>
      </c>
      <c r="N261" t="s">
        <v>24</v>
      </c>
      <c r="O261" t="s">
        <v>20</v>
      </c>
    </row>
    <row r="262" spans="1:15">
      <c r="A262" t="s">
        <v>76</v>
      </c>
      <c r="B262">
        <f t="shared" si="16"/>
        <v>0.25316455696202528</v>
      </c>
      <c r="C262">
        <f t="shared" si="17"/>
        <v>1.582278481012658E-2</v>
      </c>
      <c r="D262">
        <v>0.90000000000000102</v>
      </c>
      <c r="E262" t="s">
        <v>80</v>
      </c>
      <c r="F262" t="s">
        <v>20</v>
      </c>
      <c r="G262" t="s">
        <v>17</v>
      </c>
      <c r="H262" t="s">
        <v>24</v>
      </c>
      <c r="I262" t="s">
        <v>21</v>
      </c>
      <c r="J262" t="s">
        <v>22</v>
      </c>
      <c r="K262" t="s">
        <v>20</v>
      </c>
      <c r="L262" t="s">
        <v>17</v>
      </c>
      <c r="M262" t="s">
        <v>24</v>
      </c>
      <c r="N262" t="s">
        <v>21</v>
      </c>
      <c r="O262" t="s">
        <v>22</v>
      </c>
    </row>
    <row r="263" spans="1:15">
      <c r="A263" t="s">
        <v>76</v>
      </c>
      <c r="B263">
        <f t="shared" si="16"/>
        <v>0.25316455696202528</v>
      </c>
      <c r="C263">
        <f t="shared" si="17"/>
        <v>1.582278481012658E-2</v>
      </c>
      <c r="D263">
        <v>0.80000000000000104</v>
      </c>
      <c r="E263" t="s">
        <v>80</v>
      </c>
      <c r="F263" t="s">
        <v>20</v>
      </c>
      <c r="G263" t="s">
        <v>22</v>
      </c>
      <c r="H263" t="s">
        <v>25</v>
      </c>
      <c r="I263" t="s">
        <v>21</v>
      </c>
      <c r="J263" t="s">
        <v>26</v>
      </c>
      <c r="L263" t="s">
        <v>22</v>
      </c>
      <c r="M263" t="s">
        <v>25</v>
      </c>
      <c r="N263" t="s">
        <v>21</v>
      </c>
      <c r="O263" t="s">
        <v>26</v>
      </c>
    </row>
    <row r="264" spans="1:15">
      <c r="A264" t="s">
        <v>76</v>
      </c>
      <c r="B264">
        <f t="shared" si="16"/>
        <v>0.25316455696202528</v>
      </c>
      <c r="C264">
        <f t="shared" si="17"/>
        <v>1.582278481012658E-2</v>
      </c>
      <c r="D264">
        <v>0.70000000000000095</v>
      </c>
      <c r="E264" t="s">
        <v>80</v>
      </c>
      <c r="F264" t="s">
        <v>22</v>
      </c>
      <c r="G264" t="s">
        <v>19</v>
      </c>
      <c r="H264" t="s">
        <v>18</v>
      </c>
      <c r="I264" t="s">
        <v>25</v>
      </c>
      <c r="J264" t="s">
        <v>26</v>
      </c>
      <c r="K264" t="s">
        <v>22</v>
      </c>
      <c r="L264" t="s">
        <v>19</v>
      </c>
      <c r="N264" t="s">
        <v>25</v>
      </c>
      <c r="O264" t="s">
        <v>26</v>
      </c>
    </row>
    <row r="265" spans="1:15">
      <c r="A265" t="s">
        <v>76</v>
      </c>
      <c r="B265">
        <f t="shared" si="16"/>
        <v>0.25316455696202528</v>
      </c>
      <c r="C265">
        <f t="shared" si="17"/>
        <v>1.582278481012658E-2</v>
      </c>
      <c r="D265">
        <v>0.6</v>
      </c>
      <c r="E265" t="s">
        <v>80</v>
      </c>
      <c r="F265" t="s">
        <v>24</v>
      </c>
      <c r="G265" t="s">
        <v>25</v>
      </c>
      <c r="H265" t="s">
        <v>17</v>
      </c>
      <c r="I265" t="s">
        <v>19</v>
      </c>
      <c r="J265" t="s">
        <v>21</v>
      </c>
    </row>
    <row r="266" spans="1:15">
      <c r="A266" t="s">
        <v>76</v>
      </c>
      <c r="B266">
        <f t="shared" si="16"/>
        <v>0.25316455696202528</v>
      </c>
      <c r="C266">
        <f t="shared" si="17"/>
        <v>1.582278481012658E-2</v>
      </c>
      <c r="D266">
        <v>0.5</v>
      </c>
      <c r="E266" t="s">
        <v>80</v>
      </c>
      <c r="F266" t="s">
        <v>24</v>
      </c>
      <c r="G266" t="s">
        <v>20</v>
      </c>
      <c r="H266" t="s">
        <v>26</v>
      </c>
      <c r="I266" t="s">
        <v>23</v>
      </c>
      <c r="J266" t="s">
        <v>18</v>
      </c>
    </row>
    <row r="267" spans="1:15">
      <c r="A267" t="s">
        <v>76</v>
      </c>
      <c r="B267">
        <f t="shared" si="16"/>
        <v>0.25316455696202528</v>
      </c>
      <c r="C267">
        <f t="shared" si="17"/>
        <v>1.582278481012658E-2</v>
      </c>
      <c r="D267">
        <v>0.4</v>
      </c>
      <c r="E267" t="s">
        <v>80</v>
      </c>
      <c r="F267" t="s">
        <v>17</v>
      </c>
      <c r="G267" t="s">
        <v>18</v>
      </c>
      <c r="H267" t="s">
        <v>19</v>
      </c>
      <c r="I267" t="s">
        <v>25</v>
      </c>
      <c r="J267" t="s">
        <v>21</v>
      </c>
    </row>
    <row r="268" spans="1:15">
      <c r="A268" t="s">
        <v>76</v>
      </c>
      <c r="B268">
        <f t="shared" si="16"/>
        <v>0.25316455696202528</v>
      </c>
      <c r="C268">
        <f t="shared" si="17"/>
        <v>1.582278481012658E-2</v>
      </c>
      <c r="D268">
        <v>0.3</v>
      </c>
      <c r="E268" t="s">
        <v>80</v>
      </c>
      <c r="F268" t="s">
        <v>24</v>
      </c>
      <c r="G268" t="s">
        <v>19</v>
      </c>
      <c r="H268" t="s">
        <v>18</v>
      </c>
      <c r="I268" t="s">
        <v>21</v>
      </c>
      <c r="J268" t="s">
        <v>17</v>
      </c>
    </row>
    <row r="269" spans="1:15">
      <c r="A269" t="s">
        <v>76</v>
      </c>
      <c r="B269">
        <f t="shared" si="16"/>
        <v>0.25316455696202528</v>
      </c>
      <c r="C269">
        <f t="shared" si="17"/>
        <v>1.582278481012658E-2</v>
      </c>
      <c r="D269">
        <v>0.2</v>
      </c>
      <c r="E269" t="s">
        <v>80</v>
      </c>
      <c r="F269" t="s">
        <v>19</v>
      </c>
      <c r="G269" t="s">
        <v>26</v>
      </c>
      <c r="H269" t="s">
        <v>20</v>
      </c>
      <c r="I269" t="s">
        <v>22</v>
      </c>
      <c r="J269" t="s">
        <v>25</v>
      </c>
    </row>
    <row r="270" spans="1:15">
      <c r="A270" t="s">
        <v>76</v>
      </c>
      <c r="B270">
        <f t="shared" si="16"/>
        <v>0.25316455696202528</v>
      </c>
      <c r="C270">
        <f t="shared" si="17"/>
        <v>1.582278481012658E-2</v>
      </c>
      <c r="D270">
        <v>9.9999999999999895E-2</v>
      </c>
      <c r="E270" t="s">
        <v>80</v>
      </c>
      <c r="F270" t="s">
        <v>21</v>
      </c>
      <c r="G270" t="s">
        <v>18</v>
      </c>
      <c r="H270" t="s">
        <v>22</v>
      </c>
      <c r="I270" t="s">
        <v>25</v>
      </c>
      <c r="J270" t="s">
        <v>17</v>
      </c>
    </row>
    <row r="271" spans="1:15">
      <c r="A271" t="s">
        <v>76</v>
      </c>
      <c r="B271">
        <f t="shared" si="16"/>
        <v>0.25316455696202528</v>
      </c>
      <c r="C271">
        <f t="shared" si="17"/>
        <v>1.582278481012658E-2</v>
      </c>
      <c r="D271">
        <v>0</v>
      </c>
      <c r="E271" t="s">
        <v>80</v>
      </c>
      <c r="F271" t="s">
        <v>21</v>
      </c>
      <c r="G271" t="s">
        <v>26</v>
      </c>
      <c r="H271" t="s">
        <v>23</v>
      </c>
      <c r="I271" t="s">
        <v>24</v>
      </c>
      <c r="J271" t="s">
        <v>20</v>
      </c>
    </row>
    <row r="272" spans="1:15">
      <c r="A272" t="s">
        <v>76</v>
      </c>
      <c r="B272">
        <f t="shared" si="16"/>
        <v>0.25316455696202528</v>
      </c>
      <c r="C272">
        <f t="shared" si="17"/>
        <v>1.582278481012658E-2</v>
      </c>
      <c r="D272">
        <v>-0.1</v>
      </c>
      <c r="E272" t="s">
        <v>80</v>
      </c>
      <c r="F272" t="s">
        <v>17</v>
      </c>
      <c r="G272" t="s">
        <v>24</v>
      </c>
      <c r="H272" t="s">
        <v>25</v>
      </c>
      <c r="I272" t="s">
        <v>19</v>
      </c>
      <c r="J272" t="s">
        <v>26</v>
      </c>
    </row>
    <row r="273" spans="1:15">
      <c r="A273" t="s">
        <v>76</v>
      </c>
      <c r="B273">
        <f t="shared" si="16"/>
        <v>0.25316455696202528</v>
      </c>
      <c r="C273">
        <f t="shared" si="17"/>
        <v>1.582278481012658E-2</v>
      </c>
      <c r="D273">
        <v>-0.2</v>
      </c>
      <c r="E273" t="s">
        <v>80</v>
      </c>
      <c r="F273" t="s">
        <v>24</v>
      </c>
      <c r="G273" t="s">
        <v>26</v>
      </c>
      <c r="H273" t="s">
        <v>25</v>
      </c>
      <c r="I273" t="s">
        <v>20</v>
      </c>
      <c r="J273" t="s">
        <v>18</v>
      </c>
    </row>
    <row r="274" spans="1:15">
      <c r="A274" t="s">
        <v>76</v>
      </c>
      <c r="B274">
        <f t="shared" si="16"/>
        <v>0.25316455696202528</v>
      </c>
      <c r="C274">
        <f t="shared" si="17"/>
        <v>1.582278481012658E-2</v>
      </c>
      <c r="D274">
        <v>-0.3</v>
      </c>
      <c r="E274" t="s">
        <v>80</v>
      </c>
      <c r="F274" t="s">
        <v>25</v>
      </c>
      <c r="G274" t="s">
        <v>22</v>
      </c>
      <c r="H274" t="s">
        <v>21</v>
      </c>
      <c r="I274" t="s">
        <v>24</v>
      </c>
      <c r="J274" t="s">
        <v>17</v>
      </c>
    </row>
    <row r="275" spans="1:15">
      <c r="A275" t="s">
        <v>77</v>
      </c>
      <c r="B275">
        <f>1/6.61</f>
        <v>0.15128593040847199</v>
      </c>
      <c r="C275">
        <f>1/16/6.61</f>
        <v>9.4553706505294995E-3</v>
      </c>
      <c r="D275">
        <v>1.7</v>
      </c>
      <c r="E275" t="s">
        <v>80</v>
      </c>
      <c r="F275" t="s">
        <v>24</v>
      </c>
      <c r="G275" t="s">
        <v>18</v>
      </c>
      <c r="H275" t="s">
        <v>25</v>
      </c>
      <c r="I275" t="s">
        <v>21</v>
      </c>
      <c r="J275" t="s">
        <v>20</v>
      </c>
      <c r="K275" t="s">
        <v>24</v>
      </c>
      <c r="L275" t="s">
        <v>18</v>
      </c>
      <c r="M275" t="s">
        <v>25</v>
      </c>
      <c r="N275" t="s">
        <v>21</v>
      </c>
      <c r="O275" t="s">
        <v>20</v>
      </c>
    </row>
    <row r="276" spans="1:15">
      <c r="A276" t="s">
        <v>77</v>
      </c>
      <c r="B276">
        <f t="shared" ref="B276:B295" si="18">1/6.61</f>
        <v>0.15128593040847199</v>
      </c>
      <c r="C276">
        <f t="shared" ref="C276:C295" si="19">1/16/6.61</f>
        <v>9.4553706505294995E-3</v>
      </c>
      <c r="D276">
        <v>1.6</v>
      </c>
      <c r="E276" t="s">
        <v>80</v>
      </c>
      <c r="F276" t="s">
        <v>18</v>
      </c>
      <c r="G276" t="s">
        <v>19</v>
      </c>
      <c r="H276" t="s">
        <v>22</v>
      </c>
      <c r="I276" t="s">
        <v>17</v>
      </c>
      <c r="J276" t="s">
        <v>26</v>
      </c>
      <c r="K276" t="s">
        <v>18</v>
      </c>
      <c r="L276" t="s">
        <v>19</v>
      </c>
      <c r="M276" t="s">
        <v>22</v>
      </c>
      <c r="N276" t="s">
        <v>17</v>
      </c>
      <c r="O276" t="s">
        <v>26</v>
      </c>
    </row>
    <row r="277" spans="1:15">
      <c r="A277" t="s">
        <v>77</v>
      </c>
      <c r="B277">
        <f t="shared" si="18"/>
        <v>0.15128593040847199</v>
      </c>
      <c r="C277">
        <f t="shared" si="19"/>
        <v>9.4553706505294995E-3</v>
      </c>
      <c r="D277">
        <v>1.5</v>
      </c>
      <c r="E277" t="s">
        <v>80</v>
      </c>
      <c r="F277" t="s">
        <v>20</v>
      </c>
      <c r="G277" t="s">
        <v>21</v>
      </c>
      <c r="H277" t="s">
        <v>22</v>
      </c>
      <c r="I277" t="s">
        <v>26</v>
      </c>
      <c r="J277" t="s">
        <v>18</v>
      </c>
      <c r="K277" t="s">
        <v>20</v>
      </c>
      <c r="L277" t="s">
        <v>21</v>
      </c>
      <c r="M277" t="s">
        <v>22</v>
      </c>
      <c r="N277" t="s">
        <v>26</v>
      </c>
    </row>
    <row r="278" spans="1:15">
      <c r="A278" t="s">
        <v>77</v>
      </c>
      <c r="B278">
        <f t="shared" si="18"/>
        <v>0.15128593040847199</v>
      </c>
      <c r="C278">
        <f t="shared" si="19"/>
        <v>9.4553706505294995E-3</v>
      </c>
      <c r="D278">
        <v>1.4</v>
      </c>
      <c r="E278" t="s">
        <v>80</v>
      </c>
      <c r="F278" t="s">
        <v>25</v>
      </c>
      <c r="G278" t="s">
        <v>23</v>
      </c>
      <c r="H278" t="s">
        <v>19</v>
      </c>
      <c r="I278" t="s">
        <v>20</v>
      </c>
      <c r="J278" t="s">
        <v>17</v>
      </c>
      <c r="K278" t="s">
        <v>25</v>
      </c>
      <c r="L278" t="s">
        <v>23</v>
      </c>
      <c r="M278" t="s">
        <v>19</v>
      </c>
      <c r="N278" t="s">
        <v>20</v>
      </c>
      <c r="O278" t="s">
        <v>17</v>
      </c>
    </row>
    <row r="279" spans="1:15">
      <c r="A279" t="s">
        <v>77</v>
      </c>
      <c r="B279">
        <f t="shared" si="18"/>
        <v>0.15128593040847199</v>
      </c>
      <c r="C279">
        <f t="shared" si="19"/>
        <v>9.4553706505294995E-3</v>
      </c>
      <c r="D279">
        <v>1.3</v>
      </c>
      <c r="E279" t="s">
        <v>80</v>
      </c>
      <c r="F279" t="s">
        <v>25</v>
      </c>
      <c r="G279" t="s">
        <v>19</v>
      </c>
      <c r="H279" t="s">
        <v>18</v>
      </c>
      <c r="I279" t="s">
        <v>20</v>
      </c>
      <c r="J279" t="s">
        <v>24</v>
      </c>
      <c r="K279" t="s">
        <v>25</v>
      </c>
      <c r="L279" t="s">
        <v>19</v>
      </c>
      <c r="M279" t="s">
        <v>18</v>
      </c>
      <c r="N279" t="s">
        <v>20</v>
      </c>
    </row>
    <row r="280" spans="1:15">
      <c r="A280" t="s">
        <v>77</v>
      </c>
      <c r="B280">
        <f t="shared" si="18"/>
        <v>0.15128593040847199</v>
      </c>
      <c r="C280">
        <f t="shared" si="19"/>
        <v>9.4553706505294995E-3</v>
      </c>
      <c r="D280">
        <v>1.2</v>
      </c>
      <c r="E280" t="s">
        <v>80</v>
      </c>
      <c r="F280" t="s">
        <v>25</v>
      </c>
      <c r="G280" t="s">
        <v>19</v>
      </c>
      <c r="H280" t="s">
        <v>21</v>
      </c>
      <c r="I280" t="s">
        <v>22</v>
      </c>
      <c r="J280" t="s">
        <v>18</v>
      </c>
      <c r="K280" t="s">
        <v>25</v>
      </c>
      <c r="L280" t="s">
        <v>19</v>
      </c>
      <c r="M280" t="s">
        <v>21</v>
      </c>
      <c r="N280" t="s">
        <v>22</v>
      </c>
      <c r="O280" t="s">
        <v>18</v>
      </c>
    </row>
    <row r="281" spans="1:15">
      <c r="A281" t="s">
        <v>77</v>
      </c>
      <c r="B281">
        <f t="shared" si="18"/>
        <v>0.15128593040847199</v>
      </c>
      <c r="C281">
        <f t="shared" si="19"/>
        <v>9.4553706505294995E-3</v>
      </c>
      <c r="D281">
        <v>1.1000000000000001</v>
      </c>
      <c r="E281" t="s">
        <v>80</v>
      </c>
      <c r="F281" t="s">
        <v>21</v>
      </c>
      <c r="G281" t="s">
        <v>17</v>
      </c>
      <c r="H281" t="s">
        <v>22</v>
      </c>
      <c r="I281" t="s">
        <v>24</v>
      </c>
      <c r="J281" t="s">
        <v>19</v>
      </c>
      <c r="L281" t="s">
        <v>17</v>
      </c>
      <c r="M281" t="s">
        <v>22</v>
      </c>
      <c r="N281" t="s">
        <v>24</v>
      </c>
    </row>
    <row r="282" spans="1:15">
      <c r="A282" t="s">
        <v>77</v>
      </c>
      <c r="B282">
        <f t="shared" si="18"/>
        <v>0.15128593040847199</v>
      </c>
      <c r="C282">
        <f t="shared" si="19"/>
        <v>9.4553706505294995E-3</v>
      </c>
      <c r="D282">
        <v>1</v>
      </c>
      <c r="E282" t="s">
        <v>80</v>
      </c>
      <c r="F282" t="s">
        <v>20</v>
      </c>
      <c r="G282" t="s">
        <v>21</v>
      </c>
      <c r="H282" t="s">
        <v>23</v>
      </c>
      <c r="I282" t="s">
        <v>26</v>
      </c>
      <c r="J282" t="s">
        <v>25</v>
      </c>
      <c r="O282" t="s">
        <v>25</v>
      </c>
    </row>
    <row r="283" spans="1:15">
      <c r="A283" t="s">
        <v>77</v>
      </c>
      <c r="B283">
        <f t="shared" si="18"/>
        <v>0.15128593040847199</v>
      </c>
      <c r="C283">
        <f t="shared" si="19"/>
        <v>9.4553706505294995E-3</v>
      </c>
      <c r="D283">
        <v>0.90000000000000102</v>
      </c>
      <c r="E283" t="s">
        <v>80</v>
      </c>
      <c r="F283" t="s">
        <v>19</v>
      </c>
      <c r="G283" t="s">
        <v>24</v>
      </c>
      <c r="H283" t="s">
        <v>18</v>
      </c>
      <c r="I283" t="s">
        <v>22</v>
      </c>
      <c r="J283" t="s">
        <v>25</v>
      </c>
    </row>
    <row r="284" spans="1:15">
      <c r="A284" t="s">
        <v>77</v>
      </c>
      <c r="B284">
        <f t="shared" si="18"/>
        <v>0.15128593040847199</v>
      </c>
      <c r="C284">
        <f t="shared" si="19"/>
        <v>9.4553706505294995E-3</v>
      </c>
      <c r="D284">
        <v>0.80000000000000104</v>
      </c>
      <c r="E284" t="s">
        <v>80</v>
      </c>
      <c r="F284" t="s">
        <v>24</v>
      </c>
      <c r="G284" t="s">
        <v>19</v>
      </c>
      <c r="H284" t="s">
        <v>18</v>
      </c>
      <c r="I284" t="s">
        <v>22</v>
      </c>
      <c r="J284" t="s">
        <v>21</v>
      </c>
    </row>
    <row r="285" spans="1:15">
      <c r="A285" t="s">
        <v>77</v>
      </c>
      <c r="B285">
        <f t="shared" si="18"/>
        <v>0.15128593040847199</v>
      </c>
      <c r="C285">
        <f t="shared" si="19"/>
        <v>9.4553706505294995E-3</v>
      </c>
      <c r="D285">
        <v>0.70000000000000095</v>
      </c>
      <c r="E285" t="s">
        <v>80</v>
      </c>
      <c r="F285" t="s">
        <v>19</v>
      </c>
      <c r="G285" t="s">
        <v>20</v>
      </c>
      <c r="H285" t="s">
        <v>18</v>
      </c>
      <c r="I285" t="s">
        <v>25</v>
      </c>
      <c r="J285" t="s">
        <v>26</v>
      </c>
    </row>
    <row r="286" spans="1:15">
      <c r="A286" t="s">
        <v>77</v>
      </c>
      <c r="B286">
        <f t="shared" si="18"/>
        <v>0.15128593040847199</v>
      </c>
      <c r="C286">
        <f t="shared" si="19"/>
        <v>9.4553706505294995E-3</v>
      </c>
      <c r="D286">
        <v>0.6</v>
      </c>
      <c r="E286" t="s">
        <v>80</v>
      </c>
      <c r="F286" t="s">
        <v>23</v>
      </c>
      <c r="G286" t="s">
        <v>24</v>
      </c>
      <c r="H286" t="s">
        <v>25</v>
      </c>
      <c r="I286" t="s">
        <v>17</v>
      </c>
      <c r="J286" t="s">
        <v>21</v>
      </c>
    </row>
    <row r="287" spans="1:15">
      <c r="A287" t="s">
        <v>77</v>
      </c>
      <c r="B287">
        <f t="shared" si="18"/>
        <v>0.15128593040847199</v>
      </c>
      <c r="C287">
        <f t="shared" si="19"/>
        <v>9.4553706505294995E-3</v>
      </c>
      <c r="D287">
        <v>0.5</v>
      </c>
      <c r="E287" t="s">
        <v>80</v>
      </c>
      <c r="F287" t="s">
        <v>17</v>
      </c>
      <c r="G287" t="s">
        <v>22</v>
      </c>
      <c r="H287" t="s">
        <v>19</v>
      </c>
      <c r="I287" t="s">
        <v>20</v>
      </c>
      <c r="J287" t="s">
        <v>18</v>
      </c>
    </row>
    <row r="288" spans="1:15">
      <c r="A288" t="s">
        <v>77</v>
      </c>
      <c r="B288">
        <f t="shared" si="18"/>
        <v>0.15128593040847199</v>
      </c>
      <c r="C288">
        <f t="shared" si="19"/>
        <v>9.4553706505294995E-3</v>
      </c>
      <c r="D288">
        <v>0.4</v>
      </c>
      <c r="E288" t="s">
        <v>80</v>
      </c>
      <c r="F288" t="s">
        <v>24</v>
      </c>
      <c r="G288" t="s">
        <v>20</v>
      </c>
      <c r="H288" t="s">
        <v>17</v>
      </c>
      <c r="I288" t="s">
        <v>23</v>
      </c>
      <c r="J288" t="s">
        <v>18</v>
      </c>
    </row>
    <row r="289" spans="1:15">
      <c r="A289" t="s">
        <v>77</v>
      </c>
      <c r="B289">
        <f t="shared" si="18"/>
        <v>0.15128593040847199</v>
      </c>
      <c r="C289">
        <f t="shared" si="19"/>
        <v>9.4553706505294995E-3</v>
      </c>
      <c r="D289">
        <v>0.3</v>
      </c>
      <c r="E289" t="s">
        <v>80</v>
      </c>
      <c r="F289" t="s">
        <v>22</v>
      </c>
      <c r="G289" t="s">
        <v>21</v>
      </c>
      <c r="H289" t="s">
        <v>18</v>
      </c>
      <c r="I289" t="s">
        <v>20</v>
      </c>
      <c r="J289" t="s">
        <v>17</v>
      </c>
    </row>
    <row r="290" spans="1:15">
      <c r="A290" t="s">
        <v>77</v>
      </c>
      <c r="B290">
        <f t="shared" si="18"/>
        <v>0.15128593040847199</v>
      </c>
      <c r="C290">
        <f t="shared" si="19"/>
        <v>9.4553706505294995E-3</v>
      </c>
      <c r="D290">
        <v>0.2</v>
      </c>
      <c r="E290" t="s">
        <v>80</v>
      </c>
      <c r="F290" t="s">
        <v>18</v>
      </c>
      <c r="G290" t="s">
        <v>19</v>
      </c>
      <c r="H290" t="s">
        <v>17</v>
      </c>
      <c r="I290" t="s">
        <v>21</v>
      </c>
      <c r="J290" t="s">
        <v>20</v>
      </c>
    </row>
    <row r="291" spans="1:15">
      <c r="A291" t="s">
        <v>77</v>
      </c>
      <c r="B291">
        <f t="shared" si="18"/>
        <v>0.15128593040847199</v>
      </c>
      <c r="C291">
        <f t="shared" si="19"/>
        <v>9.4553706505294995E-3</v>
      </c>
      <c r="D291">
        <v>9.9999999999999895E-2</v>
      </c>
      <c r="E291" t="s">
        <v>80</v>
      </c>
      <c r="F291" t="s">
        <v>24</v>
      </c>
      <c r="G291" t="s">
        <v>17</v>
      </c>
      <c r="H291" t="s">
        <v>19</v>
      </c>
      <c r="I291" t="s">
        <v>23</v>
      </c>
      <c r="J291" t="s">
        <v>20</v>
      </c>
    </row>
    <row r="292" spans="1:15">
      <c r="A292" t="s">
        <v>77</v>
      </c>
      <c r="B292">
        <f t="shared" si="18"/>
        <v>0.15128593040847199</v>
      </c>
      <c r="C292">
        <f t="shared" si="19"/>
        <v>9.4553706505294995E-3</v>
      </c>
      <c r="D292">
        <v>0</v>
      </c>
      <c r="E292" t="s">
        <v>80</v>
      </c>
      <c r="F292" t="s">
        <v>18</v>
      </c>
      <c r="G292" t="s">
        <v>25</v>
      </c>
      <c r="H292" t="s">
        <v>23</v>
      </c>
      <c r="I292" t="s">
        <v>22</v>
      </c>
      <c r="J292" t="s">
        <v>21</v>
      </c>
    </row>
    <row r="293" spans="1:15">
      <c r="A293" t="s">
        <v>77</v>
      </c>
      <c r="B293">
        <f t="shared" si="18"/>
        <v>0.15128593040847199</v>
      </c>
      <c r="C293">
        <f t="shared" si="19"/>
        <v>9.4553706505294995E-3</v>
      </c>
      <c r="D293">
        <v>-0.1</v>
      </c>
      <c r="E293" t="s">
        <v>80</v>
      </c>
      <c r="F293" t="s">
        <v>23</v>
      </c>
      <c r="G293" t="s">
        <v>21</v>
      </c>
      <c r="H293" t="s">
        <v>20</v>
      </c>
      <c r="I293" t="s">
        <v>22</v>
      </c>
      <c r="J293" t="s">
        <v>19</v>
      </c>
    </row>
    <row r="294" spans="1:15">
      <c r="A294" t="s">
        <v>77</v>
      </c>
      <c r="B294">
        <f t="shared" si="18"/>
        <v>0.15128593040847199</v>
      </c>
      <c r="C294">
        <f t="shared" si="19"/>
        <v>9.4553706505294995E-3</v>
      </c>
      <c r="D294">
        <v>-0.2</v>
      </c>
      <c r="E294" t="s">
        <v>80</v>
      </c>
      <c r="F294" t="s">
        <v>18</v>
      </c>
      <c r="G294" t="s">
        <v>17</v>
      </c>
      <c r="H294" t="s">
        <v>26</v>
      </c>
      <c r="I294" t="s">
        <v>25</v>
      </c>
      <c r="J294" t="s">
        <v>24</v>
      </c>
    </row>
    <row r="295" spans="1:15">
      <c r="A295" t="s">
        <v>77</v>
      </c>
      <c r="B295">
        <f t="shared" si="18"/>
        <v>0.15128593040847199</v>
      </c>
      <c r="C295">
        <f t="shared" si="19"/>
        <v>9.4553706505294995E-3</v>
      </c>
      <c r="D295">
        <v>-0.3</v>
      </c>
      <c r="E295" t="s">
        <v>80</v>
      </c>
      <c r="F295" t="s">
        <v>22</v>
      </c>
      <c r="G295" t="s">
        <v>19</v>
      </c>
      <c r="H295" t="s">
        <v>17</v>
      </c>
      <c r="I295" t="s">
        <v>26</v>
      </c>
      <c r="J295" t="s">
        <v>20</v>
      </c>
    </row>
    <row r="296" spans="1:15">
      <c r="A296" t="s">
        <v>78</v>
      </c>
      <c r="B296">
        <f>1/10.68</f>
        <v>9.3632958801498134E-2</v>
      </c>
      <c r="C296">
        <f>1/16/10.68</f>
        <v>5.8520599250936334E-3</v>
      </c>
      <c r="D296">
        <v>1.7</v>
      </c>
      <c r="E296" t="s">
        <v>80</v>
      </c>
      <c r="F296" t="s">
        <v>26</v>
      </c>
      <c r="G296" t="s">
        <v>22</v>
      </c>
      <c r="H296" t="s">
        <v>21</v>
      </c>
      <c r="I296" t="s">
        <v>20</v>
      </c>
      <c r="J296" t="s">
        <v>19</v>
      </c>
      <c r="K296" t="s">
        <v>26</v>
      </c>
      <c r="L296" t="s">
        <v>22</v>
      </c>
      <c r="M296" t="s">
        <v>21</v>
      </c>
      <c r="O296" t="s">
        <v>19</v>
      </c>
    </row>
    <row r="297" spans="1:15">
      <c r="A297" t="s">
        <v>78</v>
      </c>
      <c r="B297">
        <f t="shared" ref="B297:B316" si="20">1/10.68</f>
        <v>9.3632958801498134E-2</v>
      </c>
      <c r="C297">
        <f t="shared" ref="C297:C316" si="21">1/16/10.68</f>
        <v>5.8520599250936334E-3</v>
      </c>
      <c r="D297">
        <v>1.6</v>
      </c>
      <c r="E297" t="s">
        <v>80</v>
      </c>
      <c r="F297" t="s">
        <v>17</v>
      </c>
      <c r="G297" t="s">
        <v>26</v>
      </c>
      <c r="H297" t="s">
        <v>21</v>
      </c>
      <c r="I297" t="s">
        <v>25</v>
      </c>
      <c r="J297" t="s">
        <v>19</v>
      </c>
    </row>
    <row r="298" spans="1:15">
      <c r="A298" t="s">
        <v>78</v>
      </c>
      <c r="B298">
        <f t="shared" si="20"/>
        <v>9.3632958801498134E-2</v>
      </c>
      <c r="C298">
        <f t="shared" si="21"/>
        <v>5.8520599250936334E-3</v>
      </c>
      <c r="D298">
        <v>1.5</v>
      </c>
      <c r="E298" t="s">
        <v>80</v>
      </c>
      <c r="F298" t="s">
        <v>22</v>
      </c>
      <c r="G298" t="s">
        <v>19</v>
      </c>
      <c r="H298" t="s">
        <v>20</v>
      </c>
      <c r="I298" t="s">
        <v>18</v>
      </c>
      <c r="J298" t="s">
        <v>21</v>
      </c>
    </row>
    <row r="299" spans="1:15">
      <c r="A299" t="s">
        <v>78</v>
      </c>
      <c r="B299">
        <f t="shared" si="20"/>
        <v>9.3632958801498134E-2</v>
      </c>
      <c r="C299">
        <f t="shared" si="21"/>
        <v>5.8520599250936334E-3</v>
      </c>
      <c r="D299">
        <v>1.4</v>
      </c>
      <c r="E299" t="s">
        <v>80</v>
      </c>
      <c r="F299" t="s">
        <v>22</v>
      </c>
      <c r="G299" t="s">
        <v>26</v>
      </c>
      <c r="H299" t="s">
        <v>19</v>
      </c>
      <c r="I299" t="s">
        <v>25</v>
      </c>
      <c r="J299" t="s">
        <v>20</v>
      </c>
    </row>
    <row r="300" spans="1:15">
      <c r="A300" t="s">
        <v>78</v>
      </c>
      <c r="B300">
        <f t="shared" si="20"/>
        <v>9.3632958801498134E-2</v>
      </c>
      <c r="C300">
        <f t="shared" si="21"/>
        <v>5.8520599250936334E-3</v>
      </c>
      <c r="D300">
        <v>1.3</v>
      </c>
      <c r="E300" t="s">
        <v>80</v>
      </c>
      <c r="F300" t="s">
        <v>26</v>
      </c>
      <c r="G300" t="s">
        <v>22</v>
      </c>
      <c r="H300" t="s">
        <v>23</v>
      </c>
      <c r="I300" t="s">
        <v>21</v>
      </c>
      <c r="J300" t="s">
        <v>17</v>
      </c>
    </row>
    <row r="301" spans="1:15">
      <c r="A301" t="s">
        <v>78</v>
      </c>
      <c r="B301">
        <f t="shared" si="20"/>
        <v>9.3632958801498134E-2</v>
      </c>
      <c r="C301">
        <f t="shared" si="21"/>
        <v>5.8520599250936334E-3</v>
      </c>
      <c r="D301">
        <v>1.2</v>
      </c>
      <c r="E301" t="s">
        <v>80</v>
      </c>
      <c r="F301" t="s">
        <v>26</v>
      </c>
      <c r="G301" t="s">
        <v>24</v>
      </c>
      <c r="H301" t="s">
        <v>18</v>
      </c>
      <c r="I301" t="s">
        <v>23</v>
      </c>
      <c r="J301" t="s">
        <v>25</v>
      </c>
    </row>
    <row r="302" spans="1:15">
      <c r="A302" t="s">
        <v>78</v>
      </c>
      <c r="B302">
        <f t="shared" si="20"/>
        <v>9.3632958801498134E-2</v>
      </c>
      <c r="C302">
        <f t="shared" si="21"/>
        <v>5.8520599250936334E-3</v>
      </c>
      <c r="D302">
        <v>1.1000000000000001</v>
      </c>
      <c r="E302" t="s">
        <v>80</v>
      </c>
      <c r="F302" t="s">
        <v>24</v>
      </c>
      <c r="G302" t="s">
        <v>17</v>
      </c>
      <c r="H302" t="s">
        <v>23</v>
      </c>
      <c r="I302" t="s">
        <v>19</v>
      </c>
      <c r="J302" t="s">
        <v>18</v>
      </c>
    </row>
    <row r="303" spans="1:15">
      <c r="A303" t="s">
        <v>78</v>
      </c>
      <c r="B303">
        <f t="shared" si="20"/>
        <v>9.3632958801498134E-2</v>
      </c>
      <c r="C303">
        <f t="shared" si="21"/>
        <v>5.8520599250936334E-3</v>
      </c>
      <c r="D303">
        <v>1</v>
      </c>
      <c r="E303" t="s">
        <v>80</v>
      </c>
      <c r="F303" t="s">
        <v>22</v>
      </c>
      <c r="G303" t="s">
        <v>23</v>
      </c>
      <c r="H303" t="s">
        <v>17</v>
      </c>
      <c r="I303" t="s">
        <v>24</v>
      </c>
      <c r="J303" t="s">
        <v>19</v>
      </c>
    </row>
    <row r="304" spans="1:15">
      <c r="A304" t="s">
        <v>78</v>
      </c>
      <c r="B304">
        <f t="shared" si="20"/>
        <v>9.3632958801498134E-2</v>
      </c>
      <c r="C304">
        <f t="shared" si="21"/>
        <v>5.8520599250936334E-3</v>
      </c>
      <c r="D304">
        <v>0.90000000000000102</v>
      </c>
      <c r="E304" t="s">
        <v>80</v>
      </c>
      <c r="F304" t="s">
        <v>25</v>
      </c>
      <c r="G304" t="s">
        <v>17</v>
      </c>
      <c r="H304" t="s">
        <v>21</v>
      </c>
      <c r="I304" t="s">
        <v>18</v>
      </c>
      <c r="J304" t="s">
        <v>24</v>
      </c>
    </row>
    <row r="305" spans="1:10">
      <c r="A305" t="s">
        <v>78</v>
      </c>
      <c r="B305">
        <f t="shared" si="20"/>
        <v>9.3632958801498134E-2</v>
      </c>
      <c r="C305">
        <f t="shared" si="21"/>
        <v>5.8520599250936334E-3</v>
      </c>
      <c r="D305">
        <v>0.80000000000000104</v>
      </c>
      <c r="E305" t="s">
        <v>80</v>
      </c>
      <c r="F305" t="s">
        <v>24</v>
      </c>
      <c r="G305" t="s">
        <v>20</v>
      </c>
      <c r="H305" t="s">
        <v>23</v>
      </c>
      <c r="I305" t="s">
        <v>25</v>
      </c>
      <c r="J305" t="s">
        <v>26</v>
      </c>
    </row>
    <row r="306" spans="1:10">
      <c r="A306" t="s">
        <v>78</v>
      </c>
      <c r="B306">
        <f t="shared" si="20"/>
        <v>9.3632958801498134E-2</v>
      </c>
      <c r="C306">
        <f t="shared" si="21"/>
        <v>5.8520599250936334E-3</v>
      </c>
      <c r="D306">
        <v>0.70000000000000095</v>
      </c>
      <c r="E306" t="s">
        <v>80</v>
      </c>
      <c r="F306" t="s">
        <v>22</v>
      </c>
      <c r="G306" t="s">
        <v>20</v>
      </c>
      <c r="H306" t="s">
        <v>24</v>
      </c>
      <c r="I306" t="s">
        <v>23</v>
      </c>
      <c r="J306" t="s">
        <v>18</v>
      </c>
    </row>
    <row r="307" spans="1:10">
      <c r="A307" t="s">
        <v>78</v>
      </c>
      <c r="B307">
        <f t="shared" si="20"/>
        <v>9.3632958801498134E-2</v>
      </c>
      <c r="C307">
        <f t="shared" si="21"/>
        <v>5.8520599250936334E-3</v>
      </c>
      <c r="D307">
        <v>0.6</v>
      </c>
      <c r="E307" t="s">
        <v>80</v>
      </c>
      <c r="F307" t="s">
        <v>22</v>
      </c>
      <c r="G307" t="s">
        <v>24</v>
      </c>
      <c r="H307" t="s">
        <v>23</v>
      </c>
      <c r="I307" t="s">
        <v>17</v>
      </c>
      <c r="J307" t="s">
        <v>18</v>
      </c>
    </row>
    <row r="308" spans="1:10">
      <c r="A308" t="s">
        <v>78</v>
      </c>
      <c r="B308">
        <f t="shared" si="20"/>
        <v>9.3632958801498134E-2</v>
      </c>
      <c r="C308">
        <f t="shared" si="21"/>
        <v>5.8520599250936334E-3</v>
      </c>
      <c r="D308">
        <v>0.5</v>
      </c>
      <c r="E308" t="s">
        <v>80</v>
      </c>
      <c r="F308" t="s">
        <v>25</v>
      </c>
      <c r="G308" t="s">
        <v>24</v>
      </c>
      <c r="H308" t="s">
        <v>17</v>
      </c>
      <c r="I308" t="s">
        <v>20</v>
      </c>
      <c r="J308" t="s">
        <v>19</v>
      </c>
    </row>
    <row r="309" spans="1:10">
      <c r="A309" t="s">
        <v>78</v>
      </c>
      <c r="B309">
        <f t="shared" si="20"/>
        <v>9.3632958801498134E-2</v>
      </c>
      <c r="C309">
        <f t="shared" si="21"/>
        <v>5.8520599250936334E-3</v>
      </c>
      <c r="D309">
        <v>0.4</v>
      </c>
      <c r="E309" t="s">
        <v>80</v>
      </c>
      <c r="F309" t="s">
        <v>21</v>
      </c>
      <c r="G309" t="s">
        <v>25</v>
      </c>
      <c r="H309" t="s">
        <v>19</v>
      </c>
      <c r="I309" t="s">
        <v>22</v>
      </c>
      <c r="J309" t="s">
        <v>17</v>
      </c>
    </row>
    <row r="310" spans="1:10">
      <c r="A310" t="s">
        <v>78</v>
      </c>
      <c r="B310">
        <f t="shared" si="20"/>
        <v>9.3632958801498134E-2</v>
      </c>
      <c r="C310">
        <f t="shared" si="21"/>
        <v>5.8520599250936334E-3</v>
      </c>
      <c r="D310">
        <v>0.3</v>
      </c>
      <c r="E310" t="s">
        <v>80</v>
      </c>
      <c r="F310" t="s">
        <v>23</v>
      </c>
      <c r="G310" t="s">
        <v>24</v>
      </c>
      <c r="H310" t="s">
        <v>21</v>
      </c>
      <c r="I310" t="s">
        <v>17</v>
      </c>
      <c r="J310" t="s">
        <v>19</v>
      </c>
    </row>
    <row r="311" spans="1:10">
      <c r="A311" t="s">
        <v>78</v>
      </c>
      <c r="B311">
        <f t="shared" si="20"/>
        <v>9.3632958801498134E-2</v>
      </c>
      <c r="C311">
        <f t="shared" si="21"/>
        <v>5.8520599250936334E-3</v>
      </c>
      <c r="D311">
        <v>0.2</v>
      </c>
      <c r="E311" t="s">
        <v>80</v>
      </c>
      <c r="F311" t="s">
        <v>17</v>
      </c>
      <c r="G311" t="s">
        <v>18</v>
      </c>
      <c r="H311" t="s">
        <v>19</v>
      </c>
      <c r="I311" t="s">
        <v>22</v>
      </c>
      <c r="J311" t="s">
        <v>25</v>
      </c>
    </row>
    <row r="312" spans="1:10">
      <c r="A312" t="s">
        <v>78</v>
      </c>
      <c r="B312">
        <f t="shared" si="20"/>
        <v>9.3632958801498134E-2</v>
      </c>
      <c r="C312">
        <f t="shared" si="21"/>
        <v>5.8520599250936334E-3</v>
      </c>
      <c r="D312">
        <v>9.9999999999999895E-2</v>
      </c>
      <c r="E312" t="s">
        <v>80</v>
      </c>
      <c r="F312" t="s">
        <v>19</v>
      </c>
      <c r="G312" t="s">
        <v>23</v>
      </c>
      <c r="H312" t="s">
        <v>25</v>
      </c>
      <c r="I312" t="s">
        <v>17</v>
      </c>
      <c r="J312" t="s">
        <v>18</v>
      </c>
    </row>
    <row r="313" spans="1:10">
      <c r="A313" t="s">
        <v>78</v>
      </c>
      <c r="B313">
        <f t="shared" si="20"/>
        <v>9.3632958801498134E-2</v>
      </c>
      <c r="C313">
        <f t="shared" si="21"/>
        <v>5.8520599250936334E-3</v>
      </c>
      <c r="D313">
        <v>0</v>
      </c>
      <c r="E313" t="s">
        <v>80</v>
      </c>
      <c r="F313" t="s">
        <v>20</v>
      </c>
      <c r="G313" t="s">
        <v>25</v>
      </c>
      <c r="H313" t="s">
        <v>17</v>
      </c>
      <c r="I313" t="s">
        <v>22</v>
      </c>
      <c r="J313" t="s">
        <v>19</v>
      </c>
    </row>
    <row r="314" spans="1:10">
      <c r="A314" t="s">
        <v>78</v>
      </c>
      <c r="B314">
        <f t="shared" si="20"/>
        <v>9.3632958801498134E-2</v>
      </c>
      <c r="C314">
        <f t="shared" si="21"/>
        <v>5.8520599250936334E-3</v>
      </c>
      <c r="D314">
        <v>-0.1</v>
      </c>
      <c r="E314" t="s">
        <v>80</v>
      </c>
      <c r="F314" t="s">
        <v>25</v>
      </c>
      <c r="G314" t="s">
        <v>23</v>
      </c>
      <c r="H314" t="s">
        <v>26</v>
      </c>
      <c r="I314" t="s">
        <v>22</v>
      </c>
      <c r="J314" t="s">
        <v>18</v>
      </c>
    </row>
    <row r="315" spans="1:10">
      <c r="A315" t="s">
        <v>78</v>
      </c>
      <c r="B315">
        <f t="shared" si="20"/>
        <v>9.3632958801498134E-2</v>
      </c>
      <c r="C315">
        <f t="shared" si="21"/>
        <v>5.8520599250936334E-3</v>
      </c>
      <c r="D315">
        <v>-0.2</v>
      </c>
      <c r="E315" t="s">
        <v>80</v>
      </c>
      <c r="F315" t="s">
        <v>17</v>
      </c>
      <c r="G315" t="s">
        <v>21</v>
      </c>
      <c r="H315" t="s">
        <v>22</v>
      </c>
      <c r="I315" t="s">
        <v>18</v>
      </c>
      <c r="J315" t="s">
        <v>24</v>
      </c>
    </row>
    <row r="316" spans="1:10">
      <c r="A316" t="s">
        <v>78</v>
      </c>
      <c r="B316">
        <f t="shared" si="20"/>
        <v>9.3632958801498134E-2</v>
      </c>
      <c r="C316">
        <f t="shared" si="21"/>
        <v>5.8520599250936334E-3</v>
      </c>
      <c r="D316">
        <v>-0.3</v>
      </c>
      <c r="E316" t="s">
        <v>80</v>
      </c>
      <c r="F316" t="s">
        <v>20</v>
      </c>
      <c r="G316" t="s">
        <v>17</v>
      </c>
      <c r="H316" t="s">
        <v>19</v>
      </c>
      <c r="I316" t="s">
        <v>24</v>
      </c>
      <c r="J316" t="s">
        <v>25</v>
      </c>
    </row>
    <row r="317" spans="1:10">
      <c r="A317" t="s">
        <v>79</v>
      </c>
      <c r="B317">
        <f>1/16.62</f>
        <v>6.0168471720818288E-2</v>
      </c>
      <c r="C317">
        <f>1/16/16.62</f>
        <v>3.760529482551143E-3</v>
      </c>
      <c r="D317">
        <v>1.7</v>
      </c>
      <c r="E317" t="s">
        <v>80</v>
      </c>
      <c r="F317" t="s">
        <v>19</v>
      </c>
      <c r="G317" t="s">
        <v>24</v>
      </c>
      <c r="H317" t="s">
        <v>21</v>
      </c>
      <c r="I317" t="s">
        <v>22</v>
      </c>
      <c r="J317" t="s">
        <v>18</v>
      </c>
    </row>
    <row r="318" spans="1:10">
      <c r="A318" t="s">
        <v>79</v>
      </c>
      <c r="B318">
        <f t="shared" ref="B318:B337" si="22">1/16.62</f>
        <v>6.0168471720818288E-2</v>
      </c>
      <c r="C318">
        <f t="shared" ref="C318:C337" si="23">1/16/16.62</f>
        <v>3.760529482551143E-3</v>
      </c>
      <c r="D318">
        <v>1.6</v>
      </c>
      <c r="E318" t="s">
        <v>80</v>
      </c>
      <c r="F318" t="s">
        <v>21</v>
      </c>
      <c r="G318" t="s">
        <v>20</v>
      </c>
      <c r="H318" t="s">
        <v>22</v>
      </c>
      <c r="I318" t="s">
        <v>17</v>
      </c>
      <c r="J318" t="s">
        <v>18</v>
      </c>
    </row>
    <row r="319" spans="1:10">
      <c r="A319" t="s">
        <v>79</v>
      </c>
      <c r="B319">
        <f t="shared" si="22"/>
        <v>6.0168471720818288E-2</v>
      </c>
      <c r="C319">
        <f t="shared" si="23"/>
        <v>3.760529482551143E-3</v>
      </c>
      <c r="D319">
        <v>1.5</v>
      </c>
      <c r="E319" t="s">
        <v>80</v>
      </c>
      <c r="F319" t="s">
        <v>23</v>
      </c>
      <c r="G319" t="s">
        <v>24</v>
      </c>
      <c r="H319" t="s">
        <v>18</v>
      </c>
      <c r="I319" t="s">
        <v>21</v>
      </c>
      <c r="J319" t="s">
        <v>19</v>
      </c>
    </row>
    <row r="320" spans="1:10">
      <c r="A320" t="s">
        <v>79</v>
      </c>
      <c r="B320">
        <f t="shared" si="22"/>
        <v>6.0168471720818288E-2</v>
      </c>
      <c r="C320">
        <f t="shared" si="23"/>
        <v>3.760529482551143E-3</v>
      </c>
      <c r="D320">
        <v>1.4</v>
      </c>
      <c r="E320" t="s">
        <v>80</v>
      </c>
      <c r="F320" t="s">
        <v>25</v>
      </c>
      <c r="G320" t="s">
        <v>20</v>
      </c>
      <c r="H320" t="s">
        <v>26</v>
      </c>
      <c r="I320" t="s">
        <v>19</v>
      </c>
      <c r="J320" t="s">
        <v>18</v>
      </c>
    </row>
    <row r="321" spans="1:10">
      <c r="A321" t="s">
        <v>79</v>
      </c>
      <c r="B321">
        <f t="shared" si="22"/>
        <v>6.0168471720818288E-2</v>
      </c>
      <c r="C321">
        <f t="shared" si="23"/>
        <v>3.760529482551143E-3</v>
      </c>
      <c r="D321">
        <v>1.3</v>
      </c>
      <c r="E321" t="s">
        <v>80</v>
      </c>
      <c r="F321" t="s">
        <v>25</v>
      </c>
      <c r="G321" t="s">
        <v>19</v>
      </c>
      <c r="H321" t="s">
        <v>24</v>
      </c>
      <c r="I321" t="s">
        <v>26</v>
      </c>
      <c r="J321" t="s">
        <v>20</v>
      </c>
    </row>
    <row r="322" spans="1:10">
      <c r="A322" t="s">
        <v>79</v>
      </c>
      <c r="B322">
        <f t="shared" si="22"/>
        <v>6.0168471720818288E-2</v>
      </c>
      <c r="C322">
        <f t="shared" si="23"/>
        <v>3.760529482551143E-3</v>
      </c>
      <c r="D322">
        <v>1.2</v>
      </c>
      <c r="E322" t="s">
        <v>80</v>
      </c>
      <c r="F322" t="s">
        <v>23</v>
      </c>
      <c r="G322" t="s">
        <v>20</v>
      </c>
      <c r="H322" t="s">
        <v>17</v>
      </c>
      <c r="I322" t="s">
        <v>21</v>
      </c>
      <c r="J322" t="s">
        <v>19</v>
      </c>
    </row>
    <row r="323" spans="1:10">
      <c r="A323" t="s">
        <v>79</v>
      </c>
      <c r="B323">
        <f t="shared" si="22"/>
        <v>6.0168471720818288E-2</v>
      </c>
      <c r="C323">
        <f t="shared" si="23"/>
        <v>3.760529482551143E-3</v>
      </c>
      <c r="D323">
        <v>1.1000000000000001</v>
      </c>
      <c r="E323" t="s">
        <v>80</v>
      </c>
      <c r="F323" t="s">
        <v>25</v>
      </c>
      <c r="G323" t="s">
        <v>23</v>
      </c>
      <c r="H323" t="s">
        <v>17</v>
      </c>
      <c r="I323" t="s">
        <v>20</v>
      </c>
      <c r="J323" t="s">
        <v>18</v>
      </c>
    </row>
    <row r="324" spans="1:10">
      <c r="A324" t="s">
        <v>79</v>
      </c>
      <c r="B324">
        <f t="shared" si="22"/>
        <v>6.0168471720818288E-2</v>
      </c>
      <c r="C324">
        <f t="shared" si="23"/>
        <v>3.760529482551143E-3</v>
      </c>
      <c r="D324">
        <v>1</v>
      </c>
      <c r="E324" t="s">
        <v>80</v>
      </c>
      <c r="F324" t="s">
        <v>21</v>
      </c>
      <c r="G324" t="s">
        <v>18</v>
      </c>
      <c r="H324" t="s">
        <v>19</v>
      </c>
      <c r="I324" t="s">
        <v>20</v>
      </c>
      <c r="J324" t="s">
        <v>17</v>
      </c>
    </row>
    <row r="325" spans="1:10">
      <c r="A325" t="s">
        <v>79</v>
      </c>
      <c r="B325">
        <f t="shared" si="22"/>
        <v>6.0168471720818288E-2</v>
      </c>
      <c r="C325">
        <f t="shared" si="23"/>
        <v>3.760529482551143E-3</v>
      </c>
      <c r="D325">
        <v>0.90000000000000102</v>
      </c>
      <c r="E325" t="s">
        <v>80</v>
      </c>
      <c r="F325" t="s">
        <v>22</v>
      </c>
      <c r="G325" t="s">
        <v>23</v>
      </c>
      <c r="H325" t="s">
        <v>24</v>
      </c>
      <c r="I325" t="s">
        <v>25</v>
      </c>
      <c r="J325" t="s">
        <v>17</v>
      </c>
    </row>
    <row r="326" spans="1:10">
      <c r="A326" t="s">
        <v>79</v>
      </c>
      <c r="B326">
        <f t="shared" si="22"/>
        <v>6.0168471720818288E-2</v>
      </c>
      <c r="C326">
        <f t="shared" si="23"/>
        <v>3.760529482551143E-3</v>
      </c>
      <c r="D326">
        <v>0.80000000000000104</v>
      </c>
      <c r="E326" t="s">
        <v>80</v>
      </c>
      <c r="F326" t="s">
        <v>25</v>
      </c>
      <c r="G326" t="s">
        <v>19</v>
      </c>
      <c r="H326" t="s">
        <v>17</v>
      </c>
      <c r="I326" t="s">
        <v>21</v>
      </c>
      <c r="J326" t="s">
        <v>26</v>
      </c>
    </row>
    <row r="327" spans="1:10">
      <c r="A327" t="s">
        <v>79</v>
      </c>
      <c r="B327">
        <f t="shared" si="22"/>
        <v>6.0168471720818288E-2</v>
      </c>
      <c r="C327">
        <f t="shared" si="23"/>
        <v>3.760529482551143E-3</v>
      </c>
      <c r="D327">
        <v>0.70000000000000095</v>
      </c>
      <c r="E327" t="s">
        <v>80</v>
      </c>
      <c r="F327" t="s">
        <v>18</v>
      </c>
      <c r="G327" t="s">
        <v>25</v>
      </c>
      <c r="H327" t="s">
        <v>24</v>
      </c>
      <c r="I327" t="s">
        <v>23</v>
      </c>
      <c r="J327" t="s">
        <v>20</v>
      </c>
    </row>
    <row r="328" spans="1:10">
      <c r="A328" t="s">
        <v>79</v>
      </c>
      <c r="B328">
        <f t="shared" si="22"/>
        <v>6.0168471720818288E-2</v>
      </c>
      <c r="C328">
        <f t="shared" si="23"/>
        <v>3.760529482551143E-3</v>
      </c>
      <c r="D328">
        <v>0.6</v>
      </c>
      <c r="E328" t="s">
        <v>80</v>
      </c>
      <c r="F328" t="s">
        <v>19</v>
      </c>
      <c r="G328" t="s">
        <v>17</v>
      </c>
      <c r="H328" t="s">
        <v>21</v>
      </c>
      <c r="I328" t="s">
        <v>26</v>
      </c>
      <c r="J328" t="s">
        <v>25</v>
      </c>
    </row>
    <row r="329" spans="1:10">
      <c r="A329" t="s">
        <v>79</v>
      </c>
      <c r="B329">
        <f t="shared" si="22"/>
        <v>6.0168471720818288E-2</v>
      </c>
      <c r="C329">
        <f t="shared" si="23"/>
        <v>3.760529482551143E-3</v>
      </c>
      <c r="D329">
        <v>0.5</v>
      </c>
      <c r="E329" t="s">
        <v>80</v>
      </c>
      <c r="F329" t="s">
        <v>24</v>
      </c>
      <c r="G329" t="s">
        <v>19</v>
      </c>
      <c r="H329" t="s">
        <v>25</v>
      </c>
      <c r="I329" t="s">
        <v>23</v>
      </c>
      <c r="J329" t="s">
        <v>17</v>
      </c>
    </row>
    <row r="330" spans="1:10">
      <c r="A330" t="s">
        <v>79</v>
      </c>
      <c r="B330">
        <f t="shared" si="22"/>
        <v>6.0168471720818288E-2</v>
      </c>
      <c r="C330">
        <f t="shared" si="23"/>
        <v>3.760529482551143E-3</v>
      </c>
      <c r="D330">
        <v>0.4</v>
      </c>
      <c r="E330" t="s">
        <v>80</v>
      </c>
      <c r="F330" t="s">
        <v>22</v>
      </c>
      <c r="G330" t="s">
        <v>17</v>
      </c>
      <c r="H330" t="s">
        <v>21</v>
      </c>
      <c r="I330" t="s">
        <v>26</v>
      </c>
      <c r="J330" t="s">
        <v>18</v>
      </c>
    </row>
    <row r="331" spans="1:10">
      <c r="A331" t="s">
        <v>79</v>
      </c>
      <c r="B331">
        <f t="shared" si="22"/>
        <v>6.0168471720818288E-2</v>
      </c>
      <c r="C331">
        <f t="shared" si="23"/>
        <v>3.760529482551143E-3</v>
      </c>
      <c r="D331">
        <v>0.3</v>
      </c>
      <c r="E331" t="s">
        <v>80</v>
      </c>
      <c r="F331" t="s">
        <v>18</v>
      </c>
      <c r="G331" t="s">
        <v>21</v>
      </c>
      <c r="H331" t="s">
        <v>25</v>
      </c>
      <c r="I331" t="s">
        <v>20</v>
      </c>
      <c r="J331" t="s">
        <v>26</v>
      </c>
    </row>
    <row r="332" spans="1:10">
      <c r="A332" t="s">
        <v>79</v>
      </c>
      <c r="B332">
        <f t="shared" si="22"/>
        <v>6.0168471720818288E-2</v>
      </c>
      <c r="C332">
        <f t="shared" si="23"/>
        <v>3.760529482551143E-3</v>
      </c>
      <c r="D332">
        <v>0.2</v>
      </c>
      <c r="E332" t="s">
        <v>80</v>
      </c>
      <c r="F332" t="s">
        <v>25</v>
      </c>
      <c r="G332" t="s">
        <v>18</v>
      </c>
      <c r="H332" t="s">
        <v>20</v>
      </c>
      <c r="I332" t="s">
        <v>26</v>
      </c>
      <c r="J332" t="s">
        <v>17</v>
      </c>
    </row>
    <row r="333" spans="1:10">
      <c r="A333" t="s">
        <v>79</v>
      </c>
      <c r="B333">
        <f t="shared" si="22"/>
        <v>6.0168471720818288E-2</v>
      </c>
      <c r="C333">
        <f t="shared" si="23"/>
        <v>3.760529482551143E-3</v>
      </c>
      <c r="D333">
        <v>9.9999999999999895E-2</v>
      </c>
      <c r="E333" t="s">
        <v>80</v>
      </c>
      <c r="F333" t="s">
        <v>23</v>
      </c>
      <c r="G333" t="s">
        <v>25</v>
      </c>
      <c r="H333" t="s">
        <v>20</v>
      </c>
      <c r="I333" t="s">
        <v>26</v>
      </c>
      <c r="J333" t="s">
        <v>24</v>
      </c>
    </row>
    <row r="334" spans="1:10">
      <c r="A334" t="s">
        <v>79</v>
      </c>
      <c r="B334">
        <f t="shared" si="22"/>
        <v>6.0168471720818288E-2</v>
      </c>
      <c r="C334">
        <f t="shared" si="23"/>
        <v>3.760529482551143E-3</v>
      </c>
      <c r="D334">
        <v>0</v>
      </c>
      <c r="E334" t="s">
        <v>80</v>
      </c>
      <c r="F334" t="s">
        <v>19</v>
      </c>
      <c r="G334" t="s">
        <v>20</v>
      </c>
      <c r="H334" t="s">
        <v>21</v>
      </c>
      <c r="I334" t="s">
        <v>26</v>
      </c>
      <c r="J334" t="s">
        <v>24</v>
      </c>
    </row>
    <row r="335" spans="1:10">
      <c r="A335" t="s">
        <v>79</v>
      </c>
      <c r="B335">
        <f t="shared" si="22"/>
        <v>6.0168471720818288E-2</v>
      </c>
      <c r="C335">
        <f t="shared" si="23"/>
        <v>3.760529482551143E-3</v>
      </c>
      <c r="D335">
        <v>-0.1</v>
      </c>
      <c r="E335" t="s">
        <v>80</v>
      </c>
      <c r="F335" t="s">
        <v>26</v>
      </c>
      <c r="G335" t="s">
        <v>20</v>
      </c>
      <c r="H335" t="s">
        <v>25</v>
      </c>
      <c r="I335" t="s">
        <v>19</v>
      </c>
      <c r="J335" t="s">
        <v>17</v>
      </c>
    </row>
    <row r="336" spans="1:10">
      <c r="A336" t="s">
        <v>79</v>
      </c>
      <c r="B336">
        <f t="shared" si="22"/>
        <v>6.0168471720818288E-2</v>
      </c>
      <c r="C336">
        <f t="shared" si="23"/>
        <v>3.760529482551143E-3</v>
      </c>
      <c r="D336">
        <v>-0.2</v>
      </c>
      <c r="E336" t="s">
        <v>80</v>
      </c>
      <c r="F336" t="s">
        <v>24</v>
      </c>
      <c r="G336" t="s">
        <v>22</v>
      </c>
      <c r="H336" t="s">
        <v>17</v>
      </c>
      <c r="I336" t="s">
        <v>20</v>
      </c>
      <c r="J336" t="s">
        <v>23</v>
      </c>
    </row>
    <row r="337" spans="1:10">
      <c r="A337" t="s">
        <v>79</v>
      </c>
      <c r="B337">
        <f t="shared" si="22"/>
        <v>6.0168471720818288E-2</v>
      </c>
      <c r="C337">
        <f t="shared" si="23"/>
        <v>3.760529482551143E-3</v>
      </c>
      <c r="D337">
        <v>-0.3</v>
      </c>
      <c r="E337" t="s">
        <v>80</v>
      </c>
      <c r="F337" t="s">
        <v>25</v>
      </c>
      <c r="G337" t="s">
        <v>17</v>
      </c>
      <c r="H337" t="s">
        <v>24</v>
      </c>
      <c r="I337" t="s">
        <v>20</v>
      </c>
      <c r="J337" t="s">
        <v>23</v>
      </c>
    </row>
    <row r="1048262" spans="3:3">
      <c r="C1048262" s="1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EEDA-B6C3-004E-BC40-0702594BA117}">
  <dimension ref="A1:O1048262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63</v>
      </c>
      <c r="B2">
        <v>1</v>
      </c>
      <c r="C2">
        <v>1</v>
      </c>
      <c r="D2">
        <v>1.7</v>
      </c>
      <c r="E2" t="s">
        <v>81</v>
      </c>
      <c r="F2" s="2" t="s">
        <v>23</v>
      </c>
      <c r="G2" t="s">
        <v>18</v>
      </c>
      <c r="H2" t="s">
        <v>17</v>
      </c>
      <c r="I2" t="s">
        <v>24</v>
      </c>
      <c r="J2" t="s">
        <v>19</v>
      </c>
      <c r="K2" s="2" t="s">
        <v>23</v>
      </c>
      <c r="L2" t="s">
        <v>18</v>
      </c>
      <c r="M2" t="s">
        <v>17</v>
      </c>
      <c r="N2" t="s">
        <v>24</v>
      </c>
      <c r="O2" t="s">
        <v>19</v>
      </c>
    </row>
    <row r="3" spans="1:15">
      <c r="A3" t="s">
        <v>63</v>
      </c>
      <c r="B3">
        <v>1</v>
      </c>
      <c r="C3">
        <v>1</v>
      </c>
      <c r="D3">
        <v>1.6</v>
      </c>
      <c r="E3" t="s">
        <v>81</v>
      </c>
      <c r="F3" s="2" t="s">
        <v>17</v>
      </c>
      <c r="G3" t="s">
        <v>26</v>
      </c>
      <c r="H3" t="s">
        <v>21</v>
      </c>
      <c r="I3" t="s">
        <v>25</v>
      </c>
      <c r="J3" t="s">
        <v>22</v>
      </c>
      <c r="K3" s="2" t="s">
        <v>17</v>
      </c>
      <c r="L3" t="s">
        <v>26</v>
      </c>
      <c r="M3" t="s">
        <v>21</v>
      </c>
      <c r="N3" t="s">
        <v>25</v>
      </c>
      <c r="O3" t="s">
        <v>22</v>
      </c>
    </row>
    <row r="4" spans="1:15">
      <c r="A4" t="s">
        <v>63</v>
      </c>
      <c r="B4">
        <v>1</v>
      </c>
      <c r="C4">
        <v>1</v>
      </c>
      <c r="D4">
        <v>1.5</v>
      </c>
      <c r="E4" t="s">
        <v>81</v>
      </c>
      <c r="F4" s="2" t="s">
        <v>19</v>
      </c>
      <c r="G4" t="s">
        <v>21</v>
      </c>
      <c r="H4" t="s">
        <v>22</v>
      </c>
      <c r="I4" t="s">
        <v>18</v>
      </c>
      <c r="J4" t="s">
        <v>25</v>
      </c>
      <c r="K4" s="2" t="s">
        <v>19</v>
      </c>
      <c r="L4" t="s">
        <v>21</v>
      </c>
      <c r="M4" t="s">
        <v>22</v>
      </c>
      <c r="N4" t="s">
        <v>18</v>
      </c>
      <c r="O4" t="s">
        <v>25</v>
      </c>
    </row>
    <row r="5" spans="1:15">
      <c r="A5" t="s">
        <v>63</v>
      </c>
      <c r="B5">
        <v>1</v>
      </c>
      <c r="C5">
        <v>1</v>
      </c>
      <c r="D5">
        <v>1.4</v>
      </c>
      <c r="E5" t="s">
        <v>81</v>
      </c>
      <c r="F5" s="2" t="s">
        <v>23</v>
      </c>
      <c r="G5" t="s">
        <v>22</v>
      </c>
      <c r="H5" t="s">
        <v>24</v>
      </c>
      <c r="I5" t="s">
        <v>17</v>
      </c>
      <c r="J5" t="s">
        <v>18</v>
      </c>
      <c r="K5" s="2" t="s">
        <v>23</v>
      </c>
      <c r="L5" t="s">
        <v>22</v>
      </c>
      <c r="M5" t="s">
        <v>24</v>
      </c>
      <c r="N5" t="s">
        <v>17</v>
      </c>
      <c r="O5" t="s">
        <v>18</v>
      </c>
    </row>
    <row r="6" spans="1:15">
      <c r="A6" t="s">
        <v>63</v>
      </c>
      <c r="B6">
        <v>1</v>
      </c>
      <c r="C6">
        <v>1</v>
      </c>
      <c r="D6">
        <v>1.3</v>
      </c>
      <c r="E6" t="s">
        <v>81</v>
      </c>
      <c r="F6" s="2" t="s">
        <v>24</v>
      </c>
      <c r="G6" t="s">
        <v>23</v>
      </c>
      <c r="H6" t="s">
        <v>20</v>
      </c>
      <c r="I6" t="s">
        <v>19</v>
      </c>
      <c r="J6" t="s">
        <v>18</v>
      </c>
      <c r="K6" s="2" t="s">
        <v>24</v>
      </c>
      <c r="L6" t="s">
        <v>23</v>
      </c>
      <c r="M6" t="s">
        <v>20</v>
      </c>
      <c r="N6" t="s">
        <v>19</v>
      </c>
      <c r="O6" t="s">
        <v>18</v>
      </c>
    </row>
    <row r="7" spans="1:15">
      <c r="A7" t="s">
        <v>63</v>
      </c>
      <c r="B7">
        <v>1</v>
      </c>
      <c r="C7">
        <v>1</v>
      </c>
      <c r="D7">
        <v>1.2</v>
      </c>
      <c r="E7" t="s">
        <v>81</v>
      </c>
      <c r="F7" s="2" t="s">
        <v>20</v>
      </c>
      <c r="G7" t="s">
        <v>26</v>
      </c>
      <c r="H7" t="s">
        <v>25</v>
      </c>
      <c r="I7" t="s">
        <v>17</v>
      </c>
      <c r="J7" t="s">
        <v>19</v>
      </c>
      <c r="K7" s="2" t="s">
        <v>20</v>
      </c>
      <c r="L7" t="s">
        <v>26</v>
      </c>
      <c r="M7" t="s">
        <v>25</v>
      </c>
      <c r="N7" t="s">
        <v>17</v>
      </c>
      <c r="O7" t="s">
        <v>19</v>
      </c>
    </row>
    <row r="8" spans="1:15">
      <c r="A8" t="s">
        <v>63</v>
      </c>
      <c r="B8">
        <v>1</v>
      </c>
      <c r="C8">
        <v>1</v>
      </c>
      <c r="D8">
        <v>1.1000000000000001</v>
      </c>
      <c r="E8" t="s">
        <v>81</v>
      </c>
      <c r="F8" s="2" t="s">
        <v>23</v>
      </c>
      <c r="G8" t="s">
        <v>22</v>
      </c>
      <c r="H8" t="s">
        <v>17</v>
      </c>
      <c r="I8" t="s">
        <v>19</v>
      </c>
      <c r="J8" t="s">
        <v>26</v>
      </c>
      <c r="K8" s="2" t="s">
        <v>23</v>
      </c>
      <c r="L8" t="s">
        <v>22</v>
      </c>
      <c r="M8" t="s">
        <v>17</v>
      </c>
      <c r="N8" t="s">
        <v>19</v>
      </c>
      <c r="O8" t="s">
        <v>26</v>
      </c>
    </row>
    <row r="9" spans="1:15">
      <c r="A9" t="s">
        <v>63</v>
      </c>
      <c r="B9">
        <v>1</v>
      </c>
      <c r="C9">
        <v>1</v>
      </c>
      <c r="D9">
        <v>1</v>
      </c>
      <c r="E9" t="s">
        <v>81</v>
      </c>
      <c r="F9" s="2" t="s">
        <v>18</v>
      </c>
      <c r="G9" t="s">
        <v>24</v>
      </c>
      <c r="H9" t="s">
        <v>25</v>
      </c>
      <c r="I9" t="s">
        <v>21</v>
      </c>
      <c r="J9" t="s">
        <v>23</v>
      </c>
      <c r="K9" s="2" t="s">
        <v>18</v>
      </c>
      <c r="L9" t="s">
        <v>24</v>
      </c>
      <c r="M9" t="s">
        <v>25</v>
      </c>
      <c r="N9" t="s">
        <v>21</v>
      </c>
      <c r="O9" t="s">
        <v>23</v>
      </c>
    </row>
    <row r="10" spans="1:15">
      <c r="A10" t="s">
        <v>63</v>
      </c>
      <c r="B10">
        <v>1</v>
      </c>
      <c r="C10">
        <v>1</v>
      </c>
      <c r="D10">
        <v>0.90000000000000102</v>
      </c>
      <c r="E10" t="s">
        <v>81</v>
      </c>
      <c r="F10" s="2" t="s">
        <v>17</v>
      </c>
      <c r="G10" t="s">
        <v>19</v>
      </c>
      <c r="H10" t="s">
        <v>26</v>
      </c>
      <c r="I10" t="s">
        <v>24</v>
      </c>
      <c r="J10" t="s">
        <v>25</v>
      </c>
      <c r="K10" s="2" t="s">
        <v>17</v>
      </c>
      <c r="L10" t="s">
        <v>19</v>
      </c>
      <c r="M10" t="s">
        <v>26</v>
      </c>
      <c r="N10" t="s">
        <v>24</v>
      </c>
      <c r="O10" t="s">
        <v>25</v>
      </c>
    </row>
    <row r="11" spans="1:15">
      <c r="A11" t="s">
        <v>63</v>
      </c>
      <c r="B11">
        <v>1</v>
      </c>
      <c r="C11">
        <v>1</v>
      </c>
      <c r="D11">
        <v>0.80000000000000104</v>
      </c>
      <c r="E11" t="s">
        <v>81</v>
      </c>
      <c r="F11" s="2" t="s">
        <v>18</v>
      </c>
      <c r="G11" t="s">
        <v>17</v>
      </c>
      <c r="H11" t="s">
        <v>26</v>
      </c>
      <c r="I11" t="s">
        <v>22</v>
      </c>
      <c r="J11" t="s">
        <v>19</v>
      </c>
      <c r="K11" s="2" t="s">
        <v>18</v>
      </c>
      <c r="L11" t="s">
        <v>17</v>
      </c>
      <c r="M11" t="s">
        <v>26</v>
      </c>
      <c r="N11" t="s">
        <v>22</v>
      </c>
      <c r="O11" t="s">
        <v>19</v>
      </c>
    </row>
    <row r="12" spans="1:15">
      <c r="A12" t="s">
        <v>63</v>
      </c>
      <c r="B12">
        <v>1</v>
      </c>
      <c r="C12">
        <v>1</v>
      </c>
      <c r="D12">
        <v>0.70000000000000095</v>
      </c>
      <c r="E12" t="s">
        <v>81</v>
      </c>
      <c r="F12" s="2" t="s">
        <v>17</v>
      </c>
      <c r="G12" t="s">
        <v>26</v>
      </c>
      <c r="H12" t="s">
        <v>24</v>
      </c>
      <c r="I12" t="s">
        <v>18</v>
      </c>
      <c r="J12" t="s">
        <v>23</v>
      </c>
      <c r="K12" s="2" t="s">
        <v>17</v>
      </c>
      <c r="L12" t="s">
        <v>26</v>
      </c>
      <c r="M12" t="s">
        <v>24</v>
      </c>
      <c r="N12" t="s">
        <v>18</v>
      </c>
      <c r="O12" t="s">
        <v>23</v>
      </c>
    </row>
    <row r="13" spans="1:15">
      <c r="A13" t="s">
        <v>63</v>
      </c>
      <c r="B13">
        <v>1</v>
      </c>
      <c r="C13">
        <v>1</v>
      </c>
      <c r="D13">
        <v>0.6</v>
      </c>
      <c r="E13" t="s">
        <v>81</v>
      </c>
      <c r="F13" s="2" t="s">
        <v>21</v>
      </c>
      <c r="G13" t="s">
        <v>26</v>
      </c>
      <c r="H13" t="s">
        <v>18</v>
      </c>
      <c r="I13" t="s">
        <v>19</v>
      </c>
      <c r="J13" t="s">
        <v>24</v>
      </c>
      <c r="K13" s="2" t="s">
        <v>21</v>
      </c>
      <c r="L13" t="s">
        <v>26</v>
      </c>
      <c r="M13" t="s">
        <v>18</v>
      </c>
      <c r="N13" t="s">
        <v>19</v>
      </c>
      <c r="O13" t="s">
        <v>24</v>
      </c>
    </row>
    <row r="14" spans="1:15">
      <c r="A14" t="s">
        <v>63</v>
      </c>
      <c r="B14">
        <v>1</v>
      </c>
      <c r="C14">
        <v>1</v>
      </c>
      <c r="D14">
        <v>0.5</v>
      </c>
      <c r="E14" t="s">
        <v>81</v>
      </c>
      <c r="F14" s="2" t="s">
        <v>17</v>
      </c>
      <c r="G14" t="s">
        <v>18</v>
      </c>
      <c r="H14" t="s">
        <v>25</v>
      </c>
      <c r="I14" t="s">
        <v>22</v>
      </c>
      <c r="J14" t="s">
        <v>19</v>
      </c>
      <c r="K14" s="2" t="s">
        <v>17</v>
      </c>
      <c r="L14" t="s">
        <v>18</v>
      </c>
      <c r="M14" t="s">
        <v>25</v>
      </c>
      <c r="N14" t="s">
        <v>22</v>
      </c>
      <c r="O14" t="s">
        <v>19</v>
      </c>
    </row>
    <row r="15" spans="1:15">
      <c r="A15" t="s">
        <v>63</v>
      </c>
      <c r="B15">
        <v>1</v>
      </c>
      <c r="C15">
        <v>1</v>
      </c>
      <c r="D15">
        <v>0.4</v>
      </c>
      <c r="E15" t="s">
        <v>81</v>
      </c>
      <c r="F15" s="2" t="s">
        <v>20</v>
      </c>
      <c r="G15" t="s">
        <v>18</v>
      </c>
      <c r="H15" t="s">
        <v>26</v>
      </c>
      <c r="I15" t="s">
        <v>22</v>
      </c>
      <c r="J15" t="s">
        <v>21</v>
      </c>
      <c r="K15" s="2" t="s">
        <v>20</v>
      </c>
      <c r="L15" t="s">
        <v>18</v>
      </c>
      <c r="M15" t="s">
        <v>26</v>
      </c>
      <c r="N15" t="s">
        <v>22</v>
      </c>
      <c r="O15" t="s">
        <v>21</v>
      </c>
    </row>
    <row r="16" spans="1:15">
      <c r="A16" t="s">
        <v>63</v>
      </c>
      <c r="B16">
        <v>1</v>
      </c>
      <c r="C16">
        <v>1</v>
      </c>
      <c r="D16">
        <v>0.3</v>
      </c>
      <c r="E16" t="s">
        <v>81</v>
      </c>
      <c r="F16" s="2" t="s">
        <v>21</v>
      </c>
      <c r="G16" t="s">
        <v>23</v>
      </c>
      <c r="H16" t="s">
        <v>25</v>
      </c>
      <c r="I16" t="s">
        <v>20</v>
      </c>
      <c r="J16" t="s">
        <v>19</v>
      </c>
      <c r="K16" s="2" t="s">
        <v>21</v>
      </c>
      <c r="L16" t="s">
        <v>23</v>
      </c>
      <c r="M16" t="s">
        <v>25</v>
      </c>
      <c r="N16" t="s">
        <v>20</v>
      </c>
      <c r="O16" t="s">
        <v>19</v>
      </c>
    </row>
    <row r="17" spans="1:15">
      <c r="A17" t="s">
        <v>63</v>
      </c>
      <c r="B17">
        <v>1</v>
      </c>
      <c r="C17">
        <v>1</v>
      </c>
      <c r="D17">
        <v>0.2</v>
      </c>
      <c r="E17" t="s">
        <v>81</v>
      </c>
      <c r="F17" s="2" t="s">
        <v>25</v>
      </c>
      <c r="G17" t="s">
        <v>19</v>
      </c>
      <c r="H17" t="s">
        <v>23</v>
      </c>
      <c r="I17" t="s">
        <v>21</v>
      </c>
      <c r="J17" t="s">
        <v>20</v>
      </c>
      <c r="K17" s="2" t="s">
        <v>25</v>
      </c>
      <c r="L17" t="s">
        <v>19</v>
      </c>
      <c r="M17" t="s">
        <v>23</v>
      </c>
      <c r="N17" t="s">
        <v>21</v>
      </c>
      <c r="O17" t="s">
        <v>20</v>
      </c>
    </row>
    <row r="18" spans="1:15">
      <c r="A18" t="s">
        <v>63</v>
      </c>
      <c r="B18">
        <v>1</v>
      </c>
      <c r="C18">
        <v>1</v>
      </c>
      <c r="D18">
        <v>9.9999999999999895E-2</v>
      </c>
      <c r="E18" t="s">
        <v>81</v>
      </c>
      <c r="F18" s="2" t="s">
        <v>18</v>
      </c>
      <c r="G18" t="s">
        <v>23</v>
      </c>
      <c r="H18" t="s">
        <v>19</v>
      </c>
      <c r="I18" t="s">
        <v>22</v>
      </c>
      <c r="J18" t="s">
        <v>17</v>
      </c>
      <c r="K18" s="2" t="s">
        <v>18</v>
      </c>
      <c r="L18" t="s">
        <v>23</v>
      </c>
      <c r="M18" t="s">
        <v>19</v>
      </c>
      <c r="N18" t="s">
        <v>22</v>
      </c>
      <c r="O18" t="s">
        <v>17</v>
      </c>
    </row>
    <row r="19" spans="1:15">
      <c r="A19" t="s">
        <v>63</v>
      </c>
      <c r="B19">
        <v>1</v>
      </c>
      <c r="C19">
        <v>1</v>
      </c>
      <c r="D19">
        <v>0</v>
      </c>
      <c r="E19" t="s">
        <v>81</v>
      </c>
      <c r="F19" s="2" t="s">
        <v>22</v>
      </c>
      <c r="G19" t="s">
        <v>26</v>
      </c>
      <c r="H19" t="s">
        <v>24</v>
      </c>
      <c r="I19" t="s">
        <v>25</v>
      </c>
      <c r="J19" t="s">
        <v>23</v>
      </c>
      <c r="K19" s="2" t="s">
        <v>22</v>
      </c>
      <c r="L19" t="s">
        <v>26</v>
      </c>
      <c r="M19" t="s">
        <v>24</v>
      </c>
      <c r="N19" t="s">
        <v>25</v>
      </c>
      <c r="O19" t="s">
        <v>23</v>
      </c>
    </row>
    <row r="20" spans="1:15">
      <c r="A20" t="s">
        <v>63</v>
      </c>
      <c r="B20">
        <v>1</v>
      </c>
      <c r="C20">
        <v>1</v>
      </c>
      <c r="D20">
        <v>-0.1</v>
      </c>
      <c r="E20" t="s">
        <v>81</v>
      </c>
      <c r="F20" s="2" t="s">
        <v>17</v>
      </c>
      <c r="G20" t="s">
        <v>26</v>
      </c>
      <c r="H20" t="s">
        <v>22</v>
      </c>
      <c r="I20" t="s">
        <v>20</v>
      </c>
      <c r="J20" t="s">
        <v>23</v>
      </c>
      <c r="K20" s="2"/>
      <c r="L20" t="s">
        <v>26</v>
      </c>
      <c r="M20" t="s">
        <v>22</v>
      </c>
      <c r="N20" t="s">
        <v>20</v>
      </c>
      <c r="O20" t="s">
        <v>23</v>
      </c>
    </row>
    <row r="21" spans="1:15">
      <c r="A21" t="s">
        <v>63</v>
      </c>
      <c r="B21">
        <v>1</v>
      </c>
      <c r="C21">
        <v>1</v>
      </c>
      <c r="D21">
        <v>-0.2</v>
      </c>
      <c r="E21" t="s">
        <v>81</v>
      </c>
      <c r="F21" s="2" t="s">
        <v>18</v>
      </c>
      <c r="G21" t="s">
        <v>22</v>
      </c>
      <c r="H21" t="s">
        <v>19</v>
      </c>
      <c r="I21" t="s">
        <v>26</v>
      </c>
      <c r="J21" t="s">
        <v>17</v>
      </c>
    </row>
    <row r="22" spans="1:15">
      <c r="A22" t="s">
        <v>63</v>
      </c>
      <c r="B22">
        <v>1</v>
      </c>
      <c r="C22">
        <v>1</v>
      </c>
      <c r="D22">
        <v>-0.3</v>
      </c>
      <c r="E22" t="s">
        <v>81</v>
      </c>
      <c r="F22" s="2" t="s">
        <v>26</v>
      </c>
      <c r="G22" t="s">
        <v>19</v>
      </c>
      <c r="H22" t="s">
        <v>21</v>
      </c>
      <c r="I22" t="s">
        <v>25</v>
      </c>
      <c r="J22" t="s">
        <v>22</v>
      </c>
    </row>
    <row r="23" spans="1:15">
      <c r="A23" t="s">
        <v>65</v>
      </c>
      <c r="B23">
        <f>1/3.48</f>
        <v>0.28735632183908044</v>
      </c>
      <c r="C23">
        <f>1/3.48</f>
        <v>0.28735632183908044</v>
      </c>
      <c r="D23">
        <v>1.7</v>
      </c>
      <c r="E23" t="s">
        <v>81</v>
      </c>
      <c r="F23" s="2" t="s">
        <v>26</v>
      </c>
      <c r="G23" t="s">
        <v>18</v>
      </c>
      <c r="H23" t="s">
        <v>20</v>
      </c>
      <c r="I23" t="s">
        <v>22</v>
      </c>
      <c r="J23" t="s">
        <v>19</v>
      </c>
      <c r="K23" s="2" t="s">
        <v>26</v>
      </c>
      <c r="L23" t="s">
        <v>18</v>
      </c>
      <c r="M23" t="s">
        <v>20</v>
      </c>
      <c r="N23" t="s">
        <v>22</v>
      </c>
      <c r="O23" t="s">
        <v>19</v>
      </c>
    </row>
    <row r="24" spans="1:15">
      <c r="A24" t="s">
        <v>65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81</v>
      </c>
      <c r="F24" s="2" t="s">
        <v>19</v>
      </c>
      <c r="G24" t="s">
        <v>24</v>
      </c>
      <c r="H24" t="s">
        <v>26</v>
      </c>
      <c r="I24" t="s">
        <v>23</v>
      </c>
      <c r="J24" t="s">
        <v>17</v>
      </c>
      <c r="K24" s="2" t="s">
        <v>19</v>
      </c>
      <c r="L24" t="s">
        <v>24</v>
      </c>
      <c r="M24" t="s">
        <v>26</v>
      </c>
      <c r="N24" t="s">
        <v>23</v>
      </c>
      <c r="O24" t="s">
        <v>17</v>
      </c>
    </row>
    <row r="25" spans="1:15">
      <c r="A25" t="s">
        <v>65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81</v>
      </c>
      <c r="F25" s="2" t="s">
        <v>17</v>
      </c>
      <c r="G25" t="s">
        <v>19</v>
      </c>
      <c r="H25" t="s">
        <v>23</v>
      </c>
      <c r="I25" t="s">
        <v>24</v>
      </c>
      <c r="J25" t="s">
        <v>21</v>
      </c>
      <c r="K25" s="2" t="s">
        <v>17</v>
      </c>
      <c r="L25" t="s">
        <v>19</v>
      </c>
      <c r="M25" t="s">
        <v>23</v>
      </c>
      <c r="N25" t="s">
        <v>24</v>
      </c>
      <c r="O25" t="s">
        <v>21</v>
      </c>
    </row>
    <row r="26" spans="1:15">
      <c r="A26" t="s">
        <v>65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81</v>
      </c>
      <c r="F26" s="2" t="s">
        <v>20</v>
      </c>
      <c r="G26" t="s">
        <v>17</v>
      </c>
      <c r="H26" t="s">
        <v>19</v>
      </c>
      <c r="I26" t="s">
        <v>26</v>
      </c>
      <c r="J26" t="s">
        <v>21</v>
      </c>
      <c r="K26" s="2" t="s">
        <v>20</v>
      </c>
      <c r="L26" t="s">
        <v>17</v>
      </c>
      <c r="M26" t="s">
        <v>19</v>
      </c>
      <c r="N26" t="s">
        <v>26</v>
      </c>
      <c r="O26" t="s">
        <v>21</v>
      </c>
    </row>
    <row r="27" spans="1:15">
      <c r="A27" t="s">
        <v>65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81</v>
      </c>
      <c r="F27" s="2" t="s">
        <v>18</v>
      </c>
      <c r="G27" t="s">
        <v>23</v>
      </c>
      <c r="H27" t="s">
        <v>20</v>
      </c>
      <c r="I27" t="s">
        <v>26</v>
      </c>
      <c r="J27" t="s">
        <v>22</v>
      </c>
      <c r="K27" s="2" t="s">
        <v>18</v>
      </c>
      <c r="L27" t="s">
        <v>23</v>
      </c>
      <c r="M27" t="s">
        <v>20</v>
      </c>
      <c r="N27" t="s">
        <v>26</v>
      </c>
      <c r="O27" t="s">
        <v>22</v>
      </c>
    </row>
    <row r="28" spans="1:15">
      <c r="A28" t="s">
        <v>65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81</v>
      </c>
      <c r="F28" s="2" t="s">
        <v>26</v>
      </c>
      <c r="G28" t="s">
        <v>19</v>
      </c>
      <c r="H28" t="s">
        <v>24</v>
      </c>
      <c r="I28" t="s">
        <v>23</v>
      </c>
      <c r="J28" t="s">
        <v>17</v>
      </c>
      <c r="K28" s="2" t="s">
        <v>26</v>
      </c>
      <c r="L28" t="s">
        <v>19</v>
      </c>
      <c r="M28" t="s">
        <v>24</v>
      </c>
      <c r="N28" t="s">
        <v>23</v>
      </c>
      <c r="O28" t="s">
        <v>17</v>
      </c>
    </row>
    <row r="29" spans="1:15">
      <c r="A29" t="s">
        <v>65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81</v>
      </c>
      <c r="F29" s="2" t="s">
        <v>18</v>
      </c>
      <c r="G29" t="s">
        <v>26</v>
      </c>
      <c r="H29" t="s">
        <v>19</v>
      </c>
      <c r="I29" t="s">
        <v>25</v>
      </c>
      <c r="J29" t="s">
        <v>20</v>
      </c>
      <c r="K29" s="2" t="s">
        <v>18</v>
      </c>
      <c r="L29" t="s">
        <v>26</v>
      </c>
      <c r="M29" t="s">
        <v>19</v>
      </c>
      <c r="N29" t="s">
        <v>25</v>
      </c>
      <c r="O29" t="s">
        <v>20</v>
      </c>
    </row>
    <row r="30" spans="1:15">
      <c r="A30" t="s">
        <v>65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81</v>
      </c>
      <c r="F30" s="2" t="s">
        <v>24</v>
      </c>
      <c r="G30" t="s">
        <v>18</v>
      </c>
      <c r="H30" t="s">
        <v>25</v>
      </c>
      <c r="I30" t="s">
        <v>23</v>
      </c>
      <c r="J30" t="s">
        <v>17</v>
      </c>
      <c r="K30" s="2" t="s">
        <v>24</v>
      </c>
      <c r="L30" t="s">
        <v>18</v>
      </c>
      <c r="M30" t="s">
        <v>25</v>
      </c>
      <c r="N30" t="s">
        <v>23</v>
      </c>
      <c r="O30" t="s">
        <v>17</v>
      </c>
    </row>
    <row r="31" spans="1:15">
      <c r="A31" t="s">
        <v>65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81</v>
      </c>
      <c r="F31" s="2" t="s">
        <v>20</v>
      </c>
      <c r="G31" t="s">
        <v>19</v>
      </c>
      <c r="H31" t="s">
        <v>24</v>
      </c>
      <c r="I31" t="s">
        <v>23</v>
      </c>
      <c r="J31" t="s">
        <v>22</v>
      </c>
      <c r="K31" s="2" t="s">
        <v>20</v>
      </c>
      <c r="L31" t="s">
        <v>19</v>
      </c>
      <c r="M31" t="s">
        <v>24</v>
      </c>
      <c r="N31" t="s">
        <v>23</v>
      </c>
      <c r="O31" t="s">
        <v>22</v>
      </c>
    </row>
    <row r="32" spans="1:15">
      <c r="A32" t="s">
        <v>65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81</v>
      </c>
      <c r="F32" s="2" t="s">
        <v>26</v>
      </c>
      <c r="G32" t="s">
        <v>23</v>
      </c>
      <c r="H32" t="s">
        <v>17</v>
      </c>
      <c r="I32" t="s">
        <v>20</v>
      </c>
      <c r="J32" t="s">
        <v>24</v>
      </c>
      <c r="K32" s="2" t="s">
        <v>26</v>
      </c>
      <c r="L32" t="s">
        <v>23</v>
      </c>
      <c r="M32" t="s">
        <v>17</v>
      </c>
      <c r="N32" t="s">
        <v>20</v>
      </c>
      <c r="O32" t="s">
        <v>24</v>
      </c>
    </row>
    <row r="33" spans="1:15">
      <c r="A33" t="s">
        <v>65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81</v>
      </c>
      <c r="F33" s="2" t="s">
        <v>26</v>
      </c>
      <c r="G33" t="s">
        <v>18</v>
      </c>
      <c r="H33" t="s">
        <v>23</v>
      </c>
      <c r="I33" t="s">
        <v>17</v>
      </c>
      <c r="J33" t="s">
        <v>24</v>
      </c>
      <c r="K33" s="2" t="s">
        <v>26</v>
      </c>
      <c r="L33" t="s">
        <v>18</v>
      </c>
      <c r="M33" t="s">
        <v>23</v>
      </c>
      <c r="N33" t="s">
        <v>17</v>
      </c>
      <c r="O33" t="s">
        <v>24</v>
      </c>
    </row>
    <row r="34" spans="1:15">
      <c r="A34" t="s">
        <v>65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81</v>
      </c>
      <c r="F34" s="2" t="s">
        <v>19</v>
      </c>
      <c r="G34" t="s">
        <v>17</v>
      </c>
      <c r="H34" t="s">
        <v>22</v>
      </c>
      <c r="I34" t="s">
        <v>21</v>
      </c>
      <c r="J34" t="s">
        <v>23</v>
      </c>
      <c r="K34" s="2" t="s">
        <v>19</v>
      </c>
      <c r="L34" t="s">
        <v>17</v>
      </c>
      <c r="M34" t="s">
        <v>22</v>
      </c>
      <c r="N34" t="s">
        <v>21</v>
      </c>
      <c r="O34" t="s">
        <v>23</v>
      </c>
    </row>
    <row r="35" spans="1:15">
      <c r="A35" t="s">
        <v>65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81</v>
      </c>
      <c r="F35" s="2" t="s">
        <v>21</v>
      </c>
      <c r="G35" t="s">
        <v>24</v>
      </c>
      <c r="H35" t="s">
        <v>19</v>
      </c>
      <c r="I35" t="s">
        <v>23</v>
      </c>
      <c r="J35" t="s">
        <v>20</v>
      </c>
      <c r="K35" s="2" t="s">
        <v>21</v>
      </c>
      <c r="L35" t="s">
        <v>24</v>
      </c>
      <c r="M35" t="s">
        <v>19</v>
      </c>
      <c r="N35" t="s">
        <v>23</v>
      </c>
      <c r="O35" t="s">
        <v>20</v>
      </c>
    </row>
    <row r="36" spans="1:15">
      <c r="A36" t="s">
        <v>65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81</v>
      </c>
      <c r="F36" s="2" t="s">
        <v>23</v>
      </c>
      <c r="G36" t="s">
        <v>24</v>
      </c>
      <c r="H36" t="s">
        <v>21</v>
      </c>
      <c r="I36" t="s">
        <v>17</v>
      </c>
      <c r="J36" t="s">
        <v>25</v>
      </c>
      <c r="K36" s="2" t="s">
        <v>23</v>
      </c>
      <c r="L36" t="s">
        <v>24</v>
      </c>
      <c r="M36" t="s">
        <v>21</v>
      </c>
      <c r="N36" t="s">
        <v>17</v>
      </c>
      <c r="O36" t="s">
        <v>25</v>
      </c>
    </row>
    <row r="37" spans="1:15">
      <c r="A37" t="s">
        <v>65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81</v>
      </c>
      <c r="F37" s="2" t="s">
        <v>25</v>
      </c>
      <c r="G37" t="s">
        <v>17</v>
      </c>
      <c r="H37" t="s">
        <v>18</v>
      </c>
      <c r="I37" t="s">
        <v>22</v>
      </c>
      <c r="J37" t="s">
        <v>23</v>
      </c>
      <c r="K37" s="2" t="s">
        <v>25</v>
      </c>
      <c r="L37" t="s">
        <v>17</v>
      </c>
      <c r="M37" t="s">
        <v>18</v>
      </c>
      <c r="O37" t="s">
        <v>23</v>
      </c>
    </row>
    <row r="38" spans="1:15">
      <c r="A38" t="s">
        <v>65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81</v>
      </c>
      <c r="F38" s="2" t="s">
        <v>26</v>
      </c>
      <c r="G38" t="s">
        <v>18</v>
      </c>
      <c r="H38" t="s">
        <v>25</v>
      </c>
      <c r="I38" t="s">
        <v>23</v>
      </c>
      <c r="J38" t="s">
        <v>17</v>
      </c>
      <c r="K38" s="2" t="s">
        <v>26</v>
      </c>
    </row>
    <row r="39" spans="1:15">
      <c r="A39" t="s">
        <v>65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81</v>
      </c>
      <c r="F39" s="2" t="s">
        <v>18</v>
      </c>
      <c r="G39" t="s">
        <v>22</v>
      </c>
      <c r="H39" t="s">
        <v>21</v>
      </c>
      <c r="I39" t="s">
        <v>19</v>
      </c>
      <c r="J39" t="s">
        <v>25</v>
      </c>
      <c r="K39" s="2"/>
    </row>
    <row r="40" spans="1:15">
      <c r="A40" t="s">
        <v>65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81</v>
      </c>
      <c r="F40" s="2" t="s">
        <v>23</v>
      </c>
      <c r="G40" t="s">
        <v>20</v>
      </c>
      <c r="H40" t="s">
        <v>25</v>
      </c>
      <c r="I40" t="s">
        <v>22</v>
      </c>
      <c r="J40" t="s">
        <v>21</v>
      </c>
    </row>
    <row r="41" spans="1:15">
      <c r="A41" t="s">
        <v>65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81</v>
      </c>
      <c r="F41" s="2" t="s">
        <v>17</v>
      </c>
      <c r="G41" t="s">
        <v>20</v>
      </c>
      <c r="H41" t="s">
        <v>19</v>
      </c>
      <c r="I41" t="s">
        <v>22</v>
      </c>
      <c r="J41" t="s">
        <v>23</v>
      </c>
    </row>
    <row r="42" spans="1:15">
      <c r="A42" t="s">
        <v>65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81</v>
      </c>
      <c r="F42" s="2" t="s">
        <v>26</v>
      </c>
      <c r="G42" t="s">
        <v>18</v>
      </c>
      <c r="H42" t="s">
        <v>25</v>
      </c>
      <c r="I42" t="s">
        <v>24</v>
      </c>
      <c r="J42" t="s">
        <v>23</v>
      </c>
    </row>
    <row r="43" spans="1:15">
      <c r="A43" t="s">
        <v>65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81</v>
      </c>
      <c r="F43" s="2" t="s">
        <v>19</v>
      </c>
      <c r="G43" t="s">
        <v>23</v>
      </c>
      <c r="H43" t="s">
        <v>21</v>
      </c>
      <c r="I43" t="s">
        <v>18</v>
      </c>
      <c r="J43" t="s">
        <v>20</v>
      </c>
    </row>
    <row r="44" spans="1:15">
      <c r="A44" t="s">
        <v>66</v>
      </c>
      <c r="B44">
        <f>1/6.4</f>
        <v>0.15625</v>
      </c>
      <c r="C44">
        <f>1/6.4</f>
        <v>0.15625</v>
      </c>
      <c r="D44">
        <v>1.7</v>
      </c>
      <c r="E44" t="s">
        <v>81</v>
      </c>
      <c r="F44" s="2" t="s">
        <v>25</v>
      </c>
      <c r="G44" t="s">
        <v>18</v>
      </c>
      <c r="H44" t="s">
        <v>17</v>
      </c>
      <c r="I44" t="s">
        <v>21</v>
      </c>
      <c r="J44" t="s">
        <v>22</v>
      </c>
      <c r="K44" s="2" t="s">
        <v>25</v>
      </c>
      <c r="L44" t="s">
        <v>18</v>
      </c>
      <c r="M44" t="s">
        <v>17</v>
      </c>
      <c r="N44" t="s">
        <v>21</v>
      </c>
      <c r="O44" t="s">
        <v>22</v>
      </c>
    </row>
    <row r="45" spans="1:15">
      <c r="A45" t="s">
        <v>66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81</v>
      </c>
      <c r="F45" s="2" t="s">
        <v>23</v>
      </c>
      <c r="G45" t="s">
        <v>20</v>
      </c>
      <c r="H45" t="s">
        <v>25</v>
      </c>
      <c r="I45" t="s">
        <v>19</v>
      </c>
      <c r="J45" t="s">
        <v>21</v>
      </c>
      <c r="K45" s="2" t="s">
        <v>23</v>
      </c>
      <c r="L45" t="s">
        <v>20</v>
      </c>
      <c r="M45" t="s">
        <v>25</v>
      </c>
      <c r="N45" t="s">
        <v>19</v>
      </c>
      <c r="O45" t="s">
        <v>21</v>
      </c>
    </row>
    <row r="46" spans="1:15">
      <c r="A46" t="s">
        <v>66</v>
      </c>
      <c r="B46">
        <f t="shared" si="1"/>
        <v>0.15625</v>
      </c>
      <c r="C46">
        <f t="shared" si="1"/>
        <v>0.15625</v>
      </c>
      <c r="D46">
        <v>1.5</v>
      </c>
      <c r="E46" t="s">
        <v>81</v>
      </c>
      <c r="F46" s="2" t="s">
        <v>19</v>
      </c>
      <c r="G46" t="s">
        <v>20</v>
      </c>
      <c r="H46" t="s">
        <v>22</v>
      </c>
      <c r="I46" t="s">
        <v>25</v>
      </c>
      <c r="J46" t="s">
        <v>23</v>
      </c>
      <c r="K46" s="2" t="s">
        <v>19</v>
      </c>
      <c r="L46" t="s">
        <v>20</v>
      </c>
      <c r="M46" t="s">
        <v>22</v>
      </c>
      <c r="N46" t="s">
        <v>25</v>
      </c>
      <c r="O46" t="s">
        <v>23</v>
      </c>
    </row>
    <row r="47" spans="1:15">
      <c r="A47" t="s">
        <v>66</v>
      </c>
      <c r="B47">
        <f t="shared" si="1"/>
        <v>0.15625</v>
      </c>
      <c r="C47">
        <f t="shared" si="1"/>
        <v>0.15625</v>
      </c>
      <c r="D47">
        <v>1.4</v>
      </c>
      <c r="E47" t="s">
        <v>81</v>
      </c>
      <c r="F47" s="2" t="s">
        <v>25</v>
      </c>
      <c r="G47" t="s">
        <v>17</v>
      </c>
      <c r="H47" t="s">
        <v>26</v>
      </c>
      <c r="I47" t="s">
        <v>21</v>
      </c>
      <c r="J47" t="s">
        <v>22</v>
      </c>
      <c r="K47" s="2" t="s">
        <v>25</v>
      </c>
      <c r="L47" t="s">
        <v>17</v>
      </c>
      <c r="M47" t="s">
        <v>26</v>
      </c>
      <c r="N47" t="s">
        <v>21</v>
      </c>
      <c r="O47" t="s">
        <v>22</v>
      </c>
    </row>
    <row r="48" spans="1:15">
      <c r="A48" t="s">
        <v>66</v>
      </c>
      <c r="B48">
        <f t="shared" si="1"/>
        <v>0.15625</v>
      </c>
      <c r="C48">
        <f t="shared" si="1"/>
        <v>0.15625</v>
      </c>
      <c r="D48">
        <v>1.3</v>
      </c>
      <c r="E48" t="s">
        <v>81</v>
      </c>
      <c r="F48" s="2" t="s">
        <v>18</v>
      </c>
      <c r="G48" t="s">
        <v>21</v>
      </c>
      <c r="H48" t="s">
        <v>23</v>
      </c>
      <c r="I48" t="s">
        <v>19</v>
      </c>
      <c r="J48" t="s">
        <v>24</v>
      </c>
      <c r="K48" s="2" t="s">
        <v>18</v>
      </c>
      <c r="L48" t="s">
        <v>21</v>
      </c>
      <c r="M48" t="s">
        <v>23</v>
      </c>
      <c r="N48" t="s">
        <v>19</v>
      </c>
      <c r="O48" t="s">
        <v>24</v>
      </c>
    </row>
    <row r="49" spans="1:15">
      <c r="A49" t="s">
        <v>66</v>
      </c>
      <c r="B49">
        <f t="shared" si="1"/>
        <v>0.15625</v>
      </c>
      <c r="C49">
        <f t="shared" si="1"/>
        <v>0.15625</v>
      </c>
      <c r="D49">
        <v>1.2</v>
      </c>
      <c r="E49" t="s">
        <v>81</v>
      </c>
      <c r="F49" s="2" t="s">
        <v>20</v>
      </c>
      <c r="G49" t="s">
        <v>17</v>
      </c>
      <c r="H49" t="s">
        <v>25</v>
      </c>
      <c r="I49" t="s">
        <v>19</v>
      </c>
      <c r="J49" t="s">
        <v>23</v>
      </c>
      <c r="K49" s="2" t="s">
        <v>20</v>
      </c>
      <c r="L49" t="s">
        <v>17</v>
      </c>
      <c r="M49" t="s">
        <v>25</v>
      </c>
      <c r="N49" t="s">
        <v>19</v>
      </c>
      <c r="O49" t="s">
        <v>23</v>
      </c>
    </row>
    <row r="50" spans="1:15">
      <c r="A50" t="s">
        <v>66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81</v>
      </c>
      <c r="F50" s="2" t="s">
        <v>23</v>
      </c>
      <c r="G50" t="s">
        <v>26</v>
      </c>
      <c r="H50" t="s">
        <v>24</v>
      </c>
      <c r="I50" t="s">
        <v>25</v>
      </c>
      <c r="J50" t="s">
        <v>18</v>
      </c>
      <c r="K50" s="2" t="s">
        <v>23</v>
      </c>
      <c r="L50" t="s">
        <v>26</v>
      </c>
      <c r="M50" t="s">
        <v>24</v>
      </c>
      <c r="N50" t="s">
        <v>25</v>
      </c>
      <c r="O50" t="s">
        <v>18</v>
      </c>
    </row>
    <row r="51" spans="1:15">
      <c r="A51" t="s">
        <v>66</v>
      </c>
      <c r="B51">
        <f t="shared" si="1"/>
        <v>0.15625</v>
      </c>
      <c r="C51">
        <f t="shared" si="1"/>
        <v>0.15625</v>
      </c>
      <c r="D51">
        <v>1</v>
      </c>
      <c r="E51" t="s">
        <v>81</v>
      </c>
      <c r="F51" s="2" t="s">
        <v>23</v>
      </c>
      <c r="G51" t="s">
        <v>17</v>
      </c>
      <c r="H51" t="s">
        <v>19</v>
      </c>
      <c r="I51" t="s">
        <v>26</v>
      </c>
      <c r="J51" t="s">
        <v>18</v>
      </c>
      <c r="K51" s="2" t="s">
        <v>23</v>
      </c>
      <c r="L51" t="s">
        <v>17</v>
      </c>
      <c r="M51" t="s">
        <v>19</v>
      </c>
      <c r="N51" t="s">
        <v>26</v>
      </c>
      <c r="O51" t="s">
        <v>18</v>
      </c>
    </row>
    <row r="52" spans="1:15">
      <c r="A52" t="s">
        <v>66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81</v>
      </c>
      <c r="F52" s="2" t="s">
        <v>23</v>
      </c>
      <c r="G52" t="s">
        <v>22</v>
      </c>
      <c r="H52" t="s">
        <v>20</v>
      </c>
      <c r="I52" t="s">
        <v>26</v>
      </c>
      <c r="J52" t="s">
        <v>19</v>
      </c>
      <c r="K52" s="2" t="s">
        <v>23</v>
      </c>
      <c r="L52" t="s">
        <v>22</v>
      </c>
      <c r="M52" t="s">
        <v>20</v>
      </c>
      <c r="N52" t="s">
        <v>26</v>
      </c>
      <c r="O52" t="s">
        <v>19</v>
      </c>
    </row>
    <row r="53" spans="1:15">
      <c r="A53" t="s">
        <v>66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81</v>
      </c>
      <c r="F53" s="2" t="s">
        <v>24</v>
      </c>
      <c r="G53" t="s">
        <v>23</v>
      </c>
      <c r="H53" t="s">
        <v>26</v>
      </c>
      <c r="I53" t="s">
        <v>18</v>
      </c>
      <c r="J53" t="s">
        <v>20</v>
      </c>
      <c r="K53" s="2" t="s">
        <v>24</v>
      </c>
      <c r="L53" t="s">
        <v>23</v>
      </c>
      <c r="M53" t="s">
        <v>26</v>
      </c>
      <c r="N53" t="s">
        <v>18</v>
      </c>
      <c r="O53" t="s">
        <v>20</v>
      </c>
    </row>
    <row r="54" spans="1:15">
      <c r="A54" t="s">
        <v>66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81</v>
      </c>
      <c r="F54" s="2" t="s">
        <v>17</v>
      </c>
      <c r="G54" t="s">
        <v>24</v>
      </c>
      <c r="H54" t="s">
        <v>18</v>
      </c>
      <c r="I54" t="s">
        <v>19</v>
      </c>
      <c r="J54" t="s">
        <v>26</v>
      </c>
      <c r="K54" s="2" t="s">
        <v>17</v>
      </c>
      <c r="L54" t="s">
        <v>24</v>
      </c>
      <c r="M54" t="s">
        <v>18</v>
      </c>
      <c r="N54" t="s">
        <v>19</v>
      </c>
      <c r="O54" t="s">
        <v>26</v>
      </c>
    </row>
    <row r="55" spans="1:15">
      <c r="A55" t="s">
        <v>66</v>
      </c>
      <c r="B55">
        <f t="shared" si="1"/>
        <v>0.15625</v>
      </c>
      <c r="C55">
        <f t="shared" si="1"/>
        <v>0.15625</v>
      </c>
      <c r="D55">
        <v>0.6</v>
      </c>
      <c r="E55" t="s">
        <v>81</v>
      </c>
      <c r="F55" s="2" t="s">
        <v>24</v>
      </c>
      <c r="G55" t="s">
        <v>26</v>
      </c>
      <c r="H55" t="s">
        <v>25</v>
      </c>
      <c r="I55" t="s">
        <v>20</v>
      </c>
      <c r="J55" t="s">
        <v>19</v>
      </c>
      <c r="K55" s="2"/>
      <c r="L55" t="s">
        <v>26</v>
      </c>
      <c r="M55" t="s">
        <v>25</v>
      </c>
      <c r="N55" t="s">
        <v>20</v>
      </c>
      <c r="O55" t="s">
        <v>19</v>
      </c>
    </row>
    <row r="56" spans="1:15">
      <c r="A56" t="s">
        <v>66</v>
      </c>
      <c r="B56">
        <f t="shared" si="1"/>
        <v>0.15625</v>
      </c>
      <c r="C56">
        <f t="shared" si="1"/>
        <v>0.15625</v>
      </c>
      <c r="D56">
        <v>0.5</v>
      </c>
      <c r="E56" t="s">
        <v>81</v>
      </c>
      <c r="F56" s="2" t="s">
        <v>22</v>
      </c>
      <c r="G56" t="s">
        <v>18</v>
      </c>
      <c r="H56" t="s">
        <v>24</v>
      </c>
      <c r="I56" t="s">
        <v>25</v>
      </c>
      <c r="J56" t="s">
        <v>26</v>
      </c>
    </row>
    <row r="57" spans="1:15">
      <c r="A57" t="s">
        <v>66</v>
      </c>
      <c r="B57">
        <f t="shared" si="1"/>
        <v>0.15625</v>
      </c>
      <c r="C57">
        <f t="shared" si="1"/>
        <v>0.15625</v>
      </c>
      <c r="D57">
        <v>0.4</v>
      </c>
      <c r="E57" t="s">
        <v>81</v>
      </c>
      <c r="F57" s="2" t="s">
        <v>20</v>
      </c>
      <c r="G57" t="s">
        <v>17</v>
      </c>
      <c r="H57" t="s">
        <v>18</v>
      </c>
      <c r="I57" t="s">
        <v>19</v>
      </c>
      <c r="J57" t="s">
        <v>26</v>
      </c>
    </row>
    <row r="58" spans="1:15">
      <c r="A58" t="s">
        <v>66</v>
      </c>
      <c r="B58">
        <f t="shared" si="1"/>
        <v>0.15625</v>
      </c>
      <c r="C58">
        <f t="shared" si="1"/>
        <v>0.15625</v>
      </c>
      <c r="D58">
        <v>0.3</v>
      </c>
      <c r="E58" t="s">
        <v>81</v>
      </c>
      <c r="F58" s="2" t="s">
        <v>23</v>
      </c>
      <c r="G58" t="s">
        <v>25</v>
      </c>
      <c r="H58" t="s">
        <v>17</v>
      </c>
      <c r="I58" t="s">
        <v>22</v>
      </c>
      <c r="J58" t="s">
        <v>21</v>
      </c>
    </row>
    <row r="59" spans="1:15">
      <c r="A59" t="s">
        <v>66</v>
      </c>
      <c r="B59">
        <f t="shared" si="1"/>
        <v>0.15625</v>
      </c>
      <c r="C59">
        <f t="shared" si="1"/>
        <v>0.15625</v>
      </c>
      <c r="D59">
        <v>0.2</v>
      </c>
      <c r="E59" t="s">
        <v>81</v>
      </c>
      <c r="F59" s="2" t="s">
        <v>19</v>
      </c>
      <c r="G59" t="s">
        <v>22</v>
      </c>
      <c r="H59" t="s">
        <v>20</v>
      </c>
      <c r="I59" t="s">
        <v>21</v>
      </c>
      <c r="J59" t="s">
        <v>26</v>
      </c>
    </row>
    <row r="60" spans="1:15">
      <c r="A60" t="s">
        <v>66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81</v>
      </c>
      <c r="F60" s="2" t="s">
        <v>21</v>
      </c>
      <c r="G60" t="s">
        <v>23</v>
      </c>
      <c r="H60" t="s">
        <v>25</v>
      </c>
      <c r="I60" t="s">
        <v>19</v>
      </c>
      <c r="J60" t="s">
        <v>17</v>
      </c>
    </row>
    <row r="61" spans="1:15">
      <c r="A61" t="s">
        <v>66</v>
      </c>
      <c r="B61">
        <f t="shared" si="1"/>
        <v>0.15625</v>
      </c>
      <c r="C61">
        <f t="shared" si="1"/>
        <v>0.15625</v>
      </c>
      <c r="D61">
        <v>0</v>
      </c>
      <c r="E61" t="s">
        <v>81</v>
      </c>
      <c r="F61" s="2" t="s">
        <v>26</v>
      </c>
      <c r="G61" t="s">
        <v>24</v>
      </c>
      <c r="H61" t="s">
        <v>23</v>
      </c>
      <c r="I61" t="s">
        <v>21</v>
      </c>
      <c r="J61" t="s">
        <v>22</v>
      </c>
    </row>
    <row r="62" spans="1:15">
      <c r="A62" t="s">
        <v>66</v>
      </c>
      <c r="B62">
        <f t="shared" si="1"/>
        <v>0.15625</v>
      </c>
      <c r="C62">
        <f t="shared" si="1"/>
        <v>0.15625</v>
      </c>
      <c r="D62">
        <v>-0.1</v>
      </c>
      <c r="E62" t="s">
        <v>81</v>
      </c>
      <c r="F62" s="2" t="s">
        <v>19</v>
      </c>
      <c r="G62" t="s">
        <v>22</v>
      </c>
      <c r="H62" t="s">
        <v>23</v>
      </c>
      <c r="I62" t="s">
        <v>18</v>
      </c>
      <c r="J62" t="s">
        <v>26</v>
      </c>
    </row>
    <row r="63" spans="1:15">
      <c r="A63" t="s">
        <v>66</v>
      </c>
      <c r="B63">
        <f t="shared" si="1"/>
        <v>0.15625</v>
      </c>
      <c r="C63">
        <f t="shared" si="1"/>
        <v>0.15625</v>
      </c>
      <c r="D63">
        <v>-0.2</v>
      </c>
      <c r="E63" t="s">
        <v>81</v>
      </c>
      <c r="F63" s="2" t="s">
        <v>26</v>
      </c>
      <c r="G63" t="s">
        <v>23</v>
      </c>
      <c r="H63" t="s">
        <v>20</v>
      </c>
      <c r="I63" t="s">
        <v>25</v>
      </c>
      <c r="J63" t="s">
        <v>17</v>
      </c>
    </row>
    <row r="64" spans="1:15">
      <c r="A64" t="s">
        <v>66</v>
      </c>
      <c r="B64">
        <f t="shared" si="1"/>
        <v>0.15625</v>
      </c>
      <c r="C64">
        <f t="shared" si="1"/>
        <v>0.15625</v>
      </c>
      <c r="D64">
        <v>-0.3</v>
      </c>
      <c r="E64" t="s">
        <v>81</v>
      </c>
      <c r="F64" s="2" t="s">
        <v>19</v>
      </c>
      <c r="G64" t="s">
        <v>25</v>
      </c>
      <c r="H64" t="s">
        <v>26</v>
      </c>
      <c r="I64" t="s">
        <v>24</v>
      </c>
      <c r="J64" t="s">
        <v>23</v>
      </c>
    </row>
    <row r="65" spans="1:15">
      <c r="A65" t="s">
        <v>67</v>
      </c>
      <c r="B65">
        <f>1/11.65</f>
        <v>8.5836909871244635E-2</v>
      </c>
      <c r="C65">
        <f>1/11.65</f>
        <v>8.5836909871244635E-2</v>
      </c>
      <c r="D65">
        <v>1.7</v>
      </c>
      <c r="E65" t="s">
        <v>81</v>
      </c>
      <c r="F65" s="2" t="s">
        <v>26</v>
      </c>
      <c r="G65" t="s">
        <v>23</v>
      </c>
      <c r="H65" t="s">
        <v>19</v>
      </c>
      <c r="I65" t="s">
        <v>25</v>
      </c>
      <c r="J65" t="s">
        <v>18</v>
      </c>
      <c r="K65" s="2" t="s">
        <v>26</v>
      </c>
      <c r="L65" t="s">
        <v>23</v>
      </c>
      <c r="M65" t="s">
        <v>19</v>
      </c>
      <c r="N65" t="s">
        <v>25</v>
      </c>
      <c r="O65" t="s">
        <v>18</v>
      </c>
    </row>
    <row r="66" spans="1:15">
      <c r="A66" t="s">
        <v>67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81</v>
      </c>
      <c r="F66" s="2" t="s">
        <v>17</v>
      </c>
      <c r="G66" t="s">
        <v>21</v>
      </c>
      <c r="H66" t="s">
        <v>25</v>
      </c>
      <c r="I66" t="s">
        <v>22</v>
      </c>
      <c r="J66" t="s">
        <v>18</v>
      </c>
      <c r="K66" s="2" t="s">
        <v>17</v>
      </c>
      <c r="L66" t="s">
        <v>21</v>
      </c>
      <c r="M66" t="s">
        <v>25</v>
      </c>
      <c r="N66" t="s">
        <v>22</v>
      </c>
      <c r="O66" t="s">
        <v>18</v>
      </c>
    </row>
    <row r="67" spans="1:15">
      <c r="A67" t="s">
        <v>67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81</v>
      </c>
      <c r="F67" s="2" t="s">
        <v>22</v>
      </c>
      <c r="G67" t="s">
        <v>18</v>
      </c>
      <c r="H67" t="s">
        <v>19</v>
      </c>
      <c r="I67" t="s">
        <v>20</v>
      </c>
      <c r="J67" t="s">
        <v>17</v>
      </c>
      <c r="K67" s="2" t="s">
        <v>22</v>
      </c>
      <c r="L67" t="s">
        <v>18</v>
      </c>
      <c r="M67" t="s">
        <v>19</v>
      </c>
      <c r="N67" t="s">
        <v>20</v>
      </c>
      <c r="O67" t="s">
        <v>17</v>
      </c>
    </row>
    <row r="68" spans="1:15">
      <c r="A68" t="s">
        <v>67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81</v>
      </c>
      <c r="F68" s="2" t="s">
        <v>23</v>
      </c>
      <c r="G68" t="s">
        <v>26</v>
      </c>
      <c r="H68" t="s">
        <v>17</v>
      </c>
      <c r="I68" t="s">
        <v>20</v>
      </c>
      <c r="J68" t="s">
        <v>21</v>
      </c>
      <c r="K68" s="2" t="s">
        <v>23</v>
      </c>
      <c r="L68" t="s">
        <v>26</v>
      </c>
      <c r="M68" t="s">
        <v>17</v>
      </c>
      <c r="N68" t="s">
        <v>20</v>
      </c>
      <c r="O68" t="s">
        <v>21</v>
      </c>
    </row>
    <row r="69" spans="1:15">
      <c r="A69" t="s">
        <v>67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81</v>
      </c>
      <c r="F69" s="2" t="s">
        <v>21</v>
      </c>
      <c r="G69" t="s">
        <v>26</v>
      </c>
      <c r="H69" t="s">
        <v>20</v>
      </c>
      <c r="I69" t="s">
        <v>19</v>
      </c>
      <c r="J69" t="s">
        <v>24</v>
      </c>
      <c r="K69" s="2" t="s">
        <v>21</v>
      </c>
      <c r="L69" t="s">
        <v>26</v>
      </c>
      <c r="M69" t="s">
        <v>20</v>
      </c>
      <c r="N69" t="s">
        <v>19</v>
      </c>
      <c r="O69" t="s">
        <v>24</v>
      </c>
    </row>
    <row r="70" spans="1:15">
      <c r="A70" t="s">
        <v>67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81</v>
      </c>
      <c r="F70" s="2" t="s">
        <v>21</v>
      </c>
      <c r="G70" t="s">
        <v>22</v>
      </c>
      <c r="H70" t="s">
        <v>24</v>
      </c>
      <c r="I70" t="s">
        <v>26</v>
      </c>
      <c r="J70" t="s">
        <v>17</v>
      </c>
      <c r="K70" s="2" t="s">
        <v>21</v>
      </c>
      <c r="L70" t="s">
        <v>22</v>
      </c>
      <c r="M70" t="s">
        <v>24</v>
      </c>
      <c r="N70" t="s">
        <v>26</v>
      </c>
      <c r="O70" t="s">
        <v>17</v>
      </c>
    </row>
    <row r="71" spans="1:15">
      <c r="A71" t="s">
        <v>67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81</v>
      </c>
      <c r="F71" s="2" t="s">
        <v>24</v>
      </c>
      <c r="G71" t="s">
        <v>23</v>
      </c>
      <c r="H71" t="s">
        <v>21</v>
      </c>
      <c r="I71" t="s">
        <v>17</v>
      </c>
      <c r="J71" t="s">
        <v>22</v>
      </c>
      <c r="K71" s="2" t="s">
        <v>24</v>
      </c>
      <c r="L71" t="s">
        <v>23</v>
      </c>
      <c r="M71" t="s">
        <v>21</v>
      </c>
      <c r="O71" t="s">
        <v>22</v>
      </c>
    </row>
    <row r="72" spans="1:15">
      <c r="A72" t="s">
        <v>67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81</v>
      </c>
      <c r="F72" s="2" t="s">
        <v>22</v>
      </c>
      <c r="G72" t="s">
        <v>24</v>
      </c>
      <c r="H72" t="s">
        <v>18</v>
      </c>
      <c r="I72" t="s">
        <v>21</v>
      </c>
      <c r="J72" t="s">
        <v>19</v>
      </c>
      <c r="K72" s="2" t="s">
        <v>22</v>
      </c>
      <c r="L72" t="s">
        <v>24</v>
      </c>
      <c r="M72" t="s">
        <v>18</v>
      </c>
      <c r="N72" t="s">
        <v>21</v>
      </c>
      <c r="O72" t="s">
        <v>19</v>
      </c>
    </row>
    <row r="73" spans="1:15">
      <c r="A73" t="s">
        <v>67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81</v>
      </c>
      <c r="F73" s="2" t="s">
        <v>19</v>
      </c>
      <c r="G73" t="s">
        <v>23</v>
      </c>
      <c r="H73" t="s">
        <v>22</v>
      </c>
      <c r="I73" t="s">
        <v>17</v>
      </c>
      <c r="J73" t="s">
        <v>26</v>
      </c>
      <c r="L73" t="s">
        <v>23</v>
      </c>
      <c r="O73" t="s">
        <v>26</v>
      </c>
    </row>
    <row r="74" spans="1:15">
      <c r="A74" t="s">
        <v>67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81</v>
      </c>
      <c r="F74" s="2" t="s">
        <v>26</v>
      </c>
      <c r="G74" t="s">
        <v>20</v>
      </c>
      <c r="H74" t="s">
        <v>21</v>
      </c>
      <c r="I74" t="s">
        <v>18</v>
      </c>
      <c r="J74" t="s">
        <v>19</v>
      </c>
    </row>
    <row r="75" spans="1:15">
      <c r="A75" t="s">
        <v>67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81</v>
      </c>
      <c r="F75" s="2" t="s">
        <v>25</v>
      </c>
      <c r="G75" t="s">
        <v>21</v>
      </c>
      <c r="H75" t="s">
        <v>24</v>
      </c>
      <c r="I75" t="s">
        <v>22</v>
      </c>
      <c r="J75" t="s">
        <v>17</v>
      </c>
    </row>
    <row r="76" spans="1:15">
      <c r="A76" t="s">
        <v>67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81</v>
      </c>
      <c r="F76" s="2" t="s">
        <v>23</v>
      </c>
      <c r="G76" t="s">
        <v>18</v>
      </c>
      <c r="H76" t="s">
        <v>17</v>
      </c>
      <c r="I76" t="s">
        <v>26</v>
      </c>
      <c r="J76" t="s">
        <v>25</v>
      </c>
    </row>
    <row r="77" spans="1:15">
      <c r="A77" t="s">
        <v>67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81</v>
      </c>
      <c r="F77" s="2" t="s">
        <v>17</v>
      </c>
      <c r="G77" t="s">
        <v>25</v>
      </c>
      <c r="H77" t="s">
        <v>23</v>
      </c>
      <c r="I77" t="s">
        <v>20</v>
      </c>
      <c r="J77" t="s">
        <v>18</v>
      </c>
    </row>
    <row r="78" spans="1:15">
      <c r="A78" t="s">
        <v>67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81</v>
      </c>
      <c r="F78" s="2" t="s">
        <v>24</v>
      </c>
      <c r="G78" t="s">
        <v>17</v>
      </c>
      <c r="H78" t="s">
        <v>26</v>
      </c>
      <c r="I78" t="s">
        <v>23</v>
      </c>
      <c r="J78" t="s">
        <v>19</v>
      </c>
    </row>
    <row r="79" spans="1:15">
      <c r="A79" t="s">
        <v>67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81</v>
      </c>
      <c r="F79" s="2" t="s">
        <v>26</v>
      </c>
      <c r="G79" t="s">
        <v>18</v>
      </c>
      <c r="H79" t="s">
        <v>21</v>
      </c>
      <c r="I79" t="s">
        <v>24</v>
      </c>
      <c r="J79" t="s">
        <v>22</v>
      </c>
    </row>
    <row r="80" spans="1:15">
      <c r="A80" t="s">
        <v>67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81</v>
      </c>
      <c r="F80" s="2" t="s">
        <v>26</v>
      </c>
      <c r="G80" t="s">
        <v>25</v>
      </c>
      <c r="H80" t="s">
        <v>20</v>
      </c>
      <c r="I80" t="s">
        <v>17</v>
      </c>
      <c r="J80" t="s">
        <v>23</v>
      </c>
    </row>
    <row r="81" spans="1:15">
      <c r="A81" t="s">
        <v>67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81</v>
      </c>
      <c r="F81" s="2" t="s">
        <v>23</v>
      </c>
      <c r="G81" t="s">
        <v>22</v>
      </c>
      <c r="H81" t="s">
        <v>25</v>
      </c>
      <c r="I81" t="s">
        <v>24</v>
      </c>
      <c r="J81" t="s">
        <v>26</v>
      </c>
    </row>
    <row r="82" spans="1:15">
      <c r="A82" t="s">
        <v>67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81</v>
      </c>
      <c r="F82" s="2" t="s">
        <v>24</v>
      </c>
      <c r="G82" t="s">
        <v>17</v>
      </c>
      <c r="H82" t="s">
        <v>23</v>
      </c>
      <c r="I82" t="s">
        <v>22</v>
      </c>
      <c r="J82" t="s">
        <v>25</v>
      </c>
    </row>
    <row r="83" spans="1:15">
      <c r="A83" t="s">
        <v>67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81</v>
      </c>
      <c r="F83" s="2" t="s">
        <v>25</v>
      </c>
      <c r="G83" t="s">
        <v>22</v>
      </c>
      <c r="H83" t="s">
        <v>19</v>
      </c>
      <c r="I83" t="s">
        <v>17</v>
      </c>
      <c r="J83" t="s">
        <v>21</v>
      </c>
    </row>
    <row r="84" spans="1:15">
      <c r="A84" t="s">
        <v>67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81</v>
      </c>
      <c r="F84" s="2" t="s">
        <v>23</v>
      </c>
      <c r="G84" t="s">
        <v>19</v>
      </c>
      <c r="H84" t="s">
        <v>26</v>
      </c>
      <c r="I84" t="s">
        <v>25</v>
      </c>
      <c r="J84" t="s">
        <v>21</v>
      </c>
    </row>
    <row r="85" spans="1:15">
      <c r="A85" t="s">
        <v>67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81</v>
      </c>
      <c r="F85" s="2" t="s">
        <v>19</v>
      </c>
      <c r="G85" t="s">
        <v>24</v>
      </c>
      <c r="H85" t="s">
        <v>26</v>
      </c>
      <c r="I85" t="s">
        <v>20</v>
      </c>
      <c r="J85" t="s">
        <v>18</v>
      </c>
    </row>
    <row r="86" spans="1:15">
      <c r="A86" t="s">
        <v>68</v>
      </c>
      <c r="B86">
        <f>1/20.9</f>
        <v>4.784688995215311E-2</v>
      </c>
      <c r="C86">
        <f>1/20.9</f>
        <v>4.784688995215311E-2</v>
      </c>
      <c r="D86">
        <v>1.7</v>
      </c>
      <c r="E86" t="s">
        <v>81</v>
      </c>
      <c r="F86" s="2" t="s">
        <v>26</v>
      </c>
      <c r="G86" t="s">
        <v>17</v>
      </c>
      <c r="H86" t="s">
        <v>24</v>
      </c>
      <c r="I86" t="s">
        <v>19</v>
      </c>
      <c r="J86" t="s">
        <v>23</v>
      </c>
      <c r="K86" s="2" t="s">
        <v>26</v>
      </c>
      <c r="L86" t="s">
        <v>17</v>
      </c>
      <c r="M86" t="s">
        <v>24</v>
      </c>
      <c r="N86" t="s">
        <v>19</v>
      </c>
      <c r="O86" t="s">
        <v>23</v>
      </c>
    </row>
    <row r="87" spans="1:15">
      <c r="A87" t="s">
        <v>68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81</v>
      </c>
      <c r="F87" s="2" t="s">
        <v>19</v>
      </c>
      <c r="G87" t="s">
        <v>20</v>
      </c>
      <c r="H87" t="s">
        <v>21</v>
      </c>
      <c r="I87" t="s">
        <v>18</v>
      </c>
      <c r="J87" t="s">
        <v>25</v>
      </c>
      <c r="K87" s="2" t="s">
        <v>19</v>
      </c>
      <c r="L87" t="s">
        <v>20</v>
      </c>
      <c r="M87" t="s">
        <v>21</v>
      </c>
      <c r="N87" t="s">
        <v>18</v>
      </c>
      <c r="O87" t="s">
        <v>25</v>
      </c>
    </row>
    <row r="88" spans="1:15">
      <c r="A88" t="s">
        <v>68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81</v>
      </c>
      <c r="F88" s="2" t="s">
        <v>17</v>
      </c>
      <c r="G88" t="s">
        <v>25</v>
      </c>
      <c r="H88" t="s">
        <v>23</v>
      </c>
      <c r="I88" t="s">
        <v>24</v>
      </c>
      <c r="J88" t="s">
        <v>18</v>
      </c>
      <c r="K88" s="2" t="s">
        <v>17</v>
      </c>
      <c r="L88" t="s">
        <v>25</v>
      </c>
      <c r="M88" t="s">
        <v>23</v>
      </c>
      <c r="N88" t="s">
        <v>24</v>
      </c>
      <c r="O88" t="s">
        <v>18</v>
      </c>
    </row>
    <row r="89" spans="1:15">
      <c r="A89" t="s">
        <v>68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81</v>
      </c>
      <c r="F89" s="2" t="s">
        <v>22</v>
      </c>
      <c r="G89" t="s">
        <v>21</v>
      </c>
      <c r="H89" t="s">
        <v>18</v>
      </c>
      <c r="I89" t="s">
        <v>26</v>
      </c>
      <c r="J89" t="s">
        <v>17</v>
      </c>
      <c r="K89" s="2" t="s">
        <v>22</v>
      </c>
      <c r="L89" t="s">
        <v>21</v>
      </c>
      <c r="M89" t="s">
        <v>18</v>
      </c>
      <c r="N89" t="s">
        <v>26</v>
      </c>
      <c r="O89" t="s">
        <v>17</v>
      </c>
    </row>
    <row r="90" spans="1:15">
      <c r="A90" t="s">
        <v>68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81</v>
      </c>
      <c r="F90" s="2" t="s">
        <v>17</v>
      </c>
      <c r="G90" t="s">
        <v>21</v>
      </c>
      <c r="H90" t="s">
        <v>22</v>
      </c>
      <c r="I90" t="s">
        <v>26</v>
      </c>
      <c r="J90" t="s">
        <v>24</v>
      </c>
      <c r="K90" s="2" t="s">
        <v>17</v>
      </c>
      <c r="L90" t="s">
        <v>21</v>
      </c>
      <c r="M90" t="s">
        <v>22</v>
      </c>
      <c r="N90" t="s">
        <v>26</v>
      </c>
      <c r="O90" t="s">
        <v>24</v>
      </c>
    </row>
    <row r="91" spans="1:15">
      <c r="A91" t="s">
        <v>68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81</v>
      </c>
      <c r="F91" s="2" t="s">
        <v>18</v>
      </c>
      <c r="G91" t="s">
        <v>24</v>
      </c>
      <c r="H91" t="s">
        <v>26</v>
      </c>
      <c r="I91" t="s">
        <v>25</v>
      </c>
      <c r="J91" t="s">
        <v>17</v>
      </c>
      <c r="K91" s="2" t="s">
        <v>18</v>
      </c>
      <c r="L91" t="s">
        <v>24</v>
      </c>
    </row>
    <row r="92" spans="1:15">
      <c r="A92" t="s">
        <v>68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81</v>
      </c>
      <c r="F92" s="2" t="s">
        <v>19</v>
      </c>
      <c r="G92" t="s">
        <v>22</v>
      </c>
      <c r="H92" t="s">
        <v>25</v>
      </c>
      <c r="I92" t="s">
        <v>17</v>
      </c>
      <c r="J92" t="s">
        <v>24</v>
      </c>
    </row>
    <row r="93" spans="1:15">
      <c r="A93" t="s">
        <v>68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81</v>
      </c>
      <c r="F93" s="2" t="s">
        <v>20</v>
      </c>
      <c r="G93" t="s">
        <v>24</v>
      </c>
      <c r="H93" t="s">
        <v>23</v>
      </c>
      <c r="I93" t="s">
        <v>25</v>
      </c>
      <c r="J93" t="s">
        <v>17</v>
      </c>
    </row>
    <row r="94" spans="1:15">
      <c r="A94" t="s">
        <v>68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81</v>
      </c>
      <c r="F94" s="2" t="s">
        <v>18</v>
      </c>
      <c r="G94" t="s">
        <v>17</v>
      </c>
      <c r="H94" t="s">
        <v>25</v>
      </c>
      <c r="I94" t="s">
        <v>22</v>
      </c>
      <c r="J94" t="s">
        <v>19</v>
      </c>
    </row>
    <row r="95" spans="1:15">
      <c r="A95" t="s">
        <v>68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81</v>
      </c>
      <c r="F95" s="2" t="s">
        <v>19</v>
      </c>
      <c r="G95" t="s">
        <v>25</v>
      </c>
      <c r="H95" t="s">
        <v>17</v>
      </c>
      <c r="I95" t="s">
        <v>22</v>
      </c>
      <c r="J95" t="s">
        <v>23</v>
      </c>
    </row>
    <row r="96" spans="1:15">
      <c r="A96" t="s">
        <v>68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81</v>
      </c>
      <c r="F96" s="2" t="s">
        <v>20</v>
      </c>
      <c r="G96" t="s">
        <v>21</v>
      </c>
      <c r="H96" t="s">
        <v>19</v>
      </c>
      <c r="I96" t="s">
        <v>23</v>
      </c>
      <c r="J96" t="s">
        <v>24</v>
      </c>
    </row>
    <row r="97" spans="1:12">
      <c r="A97" t="s">
        <v>68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81</v>
      </c>
      <c r="F97" s="2" t="s">
        <v>19</v>
      </c>
      <c r="G97" t="s">
        <v>22</v>
      </c>
      <c r="H97" t="s">
        <v>25</v>
      </c>
      <c r="I97" t="s">
        <v>18</v>
      </c>
      <c r="J97" t="s">
        <v>26</v>
      </c>
    </row>
    <row r="98" spans="1:12">
      <c r="A98" t="s">
        <v>68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81</v>
      </c>
      <c r="F98" s="2" t="s">
        <v>18</v>
      </c>
      <c r="G98" t="s">
        <v>21</v>
      </c>
      <c r="H98" t="s">
        <v>23</v>
      </c>
      <c r="I98" t="s">
        <v>22</v>
      </c>
      <c r="J98" t="s">
        <v>20</v>
      </c>
    </row>
    <row r="99" spans="1:12">
      <c r="A99" t="s">
        <v>68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81</v>
      </c>
      <c r="F99" s="2" t="s">
        <v>18</v>
      </c>
      <c r="G99" t="s">
        <v>25</v>
      </c>
      <c r="H99" t="s">
        <v>21</v>
      </c>
      <c r="I99" t="s">
        <v>20</v>
      </c>
      <c r="J99" t="s">
        <v>23</v>
      </c>
    </row>
    <row r="100" spans="1:12">
      <c r="A100" t="s">
        <v>68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81</v>
      </c>
      <c r="F100" s="2" t="s">
        <v>26</v>
      </c>
      <c r="G100" t="s">
        <v>22</v>
      </c>
      <c r="H100" t="s">
        <v>17</v>
      </c>
      <c r="I100" t="s">
        <v>25</v>
      </c>
      <c r="J100" t="s">
        <v>24</v>
      </c>
    </row>
    <row r="101" spans="1:12">
      <c r="A101" t="s">
        <v>68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81</v>
      </c>
      <c r="F101" s="2" t="s">
        <v>25</v>
      </c>
      <c r="G101" t="s">
        <v>22</v>
      </c>
      <c r="H101" t="s">
        <v>19</v>
      </c>
      <c r="I101" t="s">
        <v>17</v>
      </c>
      <c r="J101" t="s">
        <v>20</v>
      </c>
    </row>
    <row r="102" spans="1:12">
      <c r="A102" t="s">
        <v>68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81</v>
      </c>
      <c r="F102" s="2" t="s">
        <v>18</v>
      </c>
      <c r="G102" t="s">
        <v>24</v>
      </c>
      <c r="H102" t="s">
        <v>22</v>
      </c>
      <c r="I102" t="s">
        <v>17</v>
      </c>
      <c r="J102" t="s">
        <v>19</v>
      </c>
    </row>
    <row r="103" spans="1:12">
      <c r="A103" t="s">
        <v>68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81</v>
      </c>
      <c r="F103" s="2" t="s">
        <v>17</v>
      </c>
      <c r="G103" t="s">
        <v>23</v>
      </c>
      <c r="H103" t="s">
        <v>24</v>
      </c>
      <c r="I103" t="s">
        <v>20</v>
      </c>
      <c r="J103" t="s">
        <v>18</v>
      </c>
    </row>
    <row r="104" spans="1:12">
      <c r="A104" t="s">
        <v>68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81</v>
      </c>
      <c r="F104" s="2" t="s">
        <v>25</v>
      </c>
      <c r="G104" t="s">
        <v>26</v>
      </c>
      <c r="H104" t="s">
        <v>21</v>
      </c>
      <c r="I104" t="s">
        <v>19</v>
      </c>
      <c r="J104" t="s">
        <v>18</v>
      </c>
    </row>
    <row r="105" spans="1:12">
      <c r="A105" t="s">
        <v>68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81</v>
      </c>
      <c r="F105" s="2" t="s">
        <v>17</v>
      </c>
      <c r="G105" t="s">
        <v>20</v>
      </c>
      <c r="H105" t="s">
        <v>26</v>
      </c>
      <c r="I105" t="s">
        <v>19</v>
      </c>
      <c r="J105" t="s">
        <v>23</v>
      </c>
    </row>
    <row r="106" spans="1:12">
      <c r="A106" t="s">
        <v>68</v>
      </c>
      <c r="B106">
        <f>1/20.9</f>
        <v>4.784688995215311E-2</v>
      </c>
      <c r="C106">
        <f>1/20.9</f>
        <v>4.784688995215311E-2</v>
      </c>
      <c r="D106">
        <v>-0.3</v>
      </c>
      <c r="E106" t="s">
        <v>81</v>
      </c>
      <c r="F106" s="2" t="s">
        <v>26</v>
      </c>
      <c r="G106" t="s">
        <v>23</v>
      </c>
      <c r="H106" t="s">
        <v>17</v>
      </c>
      <c r="I106" t="s">
        <v>25</v>
      </c>
      <c r="J106" t="s">
        <v>21</v>
      </c>
    </row>
    <row r="107" spans="1:12">
      <c r="A107" t="s">
        <v>69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81</v>
      </c>
      <c r="F107" s="2" t="s">
        <v>19</v>
      </c>
      <c r="G107" t="s">
        <v>24</v>
      </c>
      <c r="H107" t="s">
        <v>25</v>
      </c>
      <c r="I107" t="s">
        <v>21</v>
      </c>
      <c r="J107" t="s">
        <v>18</v>
      </c>
      <c r="K107" s="2"/>
      <c r="L107" t="s">
        <v>24</v>
      </c>
    </row>
    <row r="108" spans="1:12">
      <c r="A108" t="s">
        <v>69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81</v>
      </c>
      <c r="F108" s="2" t="s">
        <v>26</v>
      </c>
      <c r="G108" t="s">
        <v>17</v>
      </c>
      <c r="H108" t="s">
        <v>25</v>
      </c>
      <c r="I108" t="s">
        <v>20</v>
      </c>
      <c r="J108" t="s">
        <v>18</v>
      </c>
    </row>
    <row r="109" spans="1:12">
      <c r="A109" t="s">
        <v>69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81</v>
      </c>
      <c r="F109" s="2" t="s">
        <v>25</v>
      </c>
      <c r="G109" t="s">
        <v>18</v>
      </c>
      <c r="H109" t="s">
        <v>17</v>
      </c>
      <c r="I109" t="s">
        <v>22</v>
      </c>
      <c r="J109" t="s">
        <v>26</v>
      </c>
    </row>
    <row r="110" spans="1:12">
      <c r="A110" t="s">
        <v>69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81</v>
      </c>
      <c r="F110" s="2" t="s">
        <v>25</v>
      </c>
      <c r="G110" t="s">
        <v>17</v>
      </c>
      <c r="H110" t="s">
        <v>21</v>
      </c>
      <c r="I110" t="s">
        <v>22</v>
      </c>
      <c r="J110" t="s">
        <v>19</v>
      </c>
    </row>
    <row r="111" spans="1:12">
      <c r="A111" t="s">
        <v>69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81</v>
      </c>
      <c r="F111" s="2" t="s">
        <v>21</v>
      </c>
      <c r="G111" t="s">
        <v>18</v>
      </c>
      <c r="H111" t="s">
        <v>23</v>
      </c>
      <c r="I111" t="s">
        <v>26</v>
      </c>
      <c r="J111" t="s">
        <v>20</v>
      </c>
    </row>
    <row r="112" spans="1:12">
      <c r="A112" t="s">
        <v>69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81</v>
      </c>
      <c r="F112" s="2" t="s">
        <v>22</v>
      </c>
      <c r="G112" t="s">
        <v>18</v>
      </c>
      <c r="H112" t="s">
        <v>24</v>
      </c>
      <c r="I112" t="s">
        <v>20</v>
      </c>
      <c r="J112" t="s">
        <v>17</v>
      </c>
    </row>
    <row r="113" spans="1:15">
      <c r="A113" t="s">
        <v>69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81</v>
      </c>
      <c r="F113" s="2" t="s">
        <v>17</v>
      </c>
      <c r="G113" t="s">
        <v>18</v>
      </c>
      <c r="H113" t="s">
        <v>23</v>
      </c>
      <c r="I113" t="s">
        <v>22</v>
      </c>
      <c r="J113" t="s">
        <v>26</v>
      </c>
    </row>
    <row r="114" spans="1:15">
      <c r="A114" t="s">
        <v>69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81</v>
      </c>
      <c r="F114" s="2" t="s">
        <v>22</v>
      </c>
      <c r="G114" t="s">
        <v>17</v>
      </c>
      <c r="H114" t="s">
        <v>18</v>
      </c>
      <c r="I114" t="s">
        <v>26</v>
      </c>
      <c r="J114" t="s">
        <v>20</v>
      </c>
    </row>
    <row r="115" spans="1:15">
      <c r="A115" t="s">
        <v>69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81</v>
      </c>
      <c r="F115" s="2" t="s">
        <v>25</v>
      </c>
      <c r="G115" t="s">
        <v>17</v>
      </c>
      <c r="H115" t="s">
        <v>23</v>
      </c>
      <c r="I115" t="s">
        <v>21</v>
      </c>
      <c r="J115" t="s">
        <v>24</v>
      </c>
    </row>
    <row r="116" spans="1:15">
      <c r="A116" t="s">
        <v>69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81</v>
      </c>
      <c r="F116" s="2" t="s">
        <v>21</v>
      </c>
      <c r="G116" t="s">
        <v>26</v>
      </c>
      <c r="H116" t="s">
        <v>17</v>
      </c>
      <c r="I116" t="s">
        <v>18</v>
      </c>
      <c r="J116" t="s">
        <v>20</v>
      </c>
    </row>
    <row r="117" spans="1:15">
      <c r="A117" t="s">
        <v>69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81</v>
      </c>
      <c r="F117" s="2" t="s">
        <v>18</v>
      </c>
      <c r="G117" t="s">
        <v>21</v>
      </c>
      <c r="H117" t="s">
        <v>23</v>
      </c>
      <c r="I117" t="s">
        <v>26</v>
      </c>
      <c r="J117" t="s">
        <v>20</v>
      </c>
    </row>
    <row r="118" spans="1:15">
      <c r="A118" t="s">
        <v>69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81</v>
      </c>
      <c r="F118" s="2" t="s">
        <v>17</v>
      </c>
      <c r="G118" t="s">
        <v>22</v>
      </c>
      <c r="H118" t="s">
        <v>26</v>
      </c>
      <c r="I118" t="s">
        <v>19</v>
      </c>
      <c r="J118" t="s">
        <v>23</v>
      </c>
    </row>
    <row r="119" spans="1:15">
      <c r="A119" t="s">
        <v>69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81</v>
      </c>
      <c r="F119" s="2" t="s">
        <v>22</v>
      </c>
      <c r="G119" t="s">
        <v>24</v>
      </c>
      <c r="H119" t="s">
        <v>25</v>
      </c>
      <c r="I119" t="s">
        <v>20</v>
      </c>
      <c r="J119" t="s">
        <v>26</v>
      </c>
    </row>
    <row r="120" spans="1:15">
      <c r="A120" t="s">
        <v>69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81</v>
      </c>
      <c r="F120" s="2" t="s">
        <v>20</v>
      </c>
      <c r="G120" t="s">
        <v>26</v>
      </c>
      <c r="H120" t="s">
        <v>17</v>
      </c>
      <c r="I120" t="s">
        <v>18</v>
      </c>
      <c r="J120" t="s">
        <v>21</v>
      </c>
    </row>
    <row r="121" spans="1:15">
      <c r="A121" t="s">
        <v>69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81</v>
      </c>
      <c r="F121" s="2" t="s">
        <v>21</v>
      </c>
      <c r="G121" t="s">
        <v>19</v>
      </c>
      <c r="H121" t="s">
        <v>25</v>
      </c>
      <c r="I121" t="s">
        <v>23</v>
      </c>
      <c r="J121" t="s">
        <v>26</v>
      </c>
    </row>
    <row r="122" spans="1:15">
      <c r="A122" t="s">
        <v>69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81</v>
      </c>
      <c r="F122" s="2" t="s">
        <v>22</v>
      </c>
      <c r="G122" t="s">
        <v>23</v>
      </c>
      <c r="H122" t="s">
        <v>20</v>
      </c>
      <c r="I122" t="s">
        <v>21</v>
      </c>
      <c r="J122" t="s">
        <v>26</v>
      </c>
    </row>
    <row r="123" spans="1:15">
      <c r="A123" t="s">
        <v>69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81</v>
      </c>
      <c r="F123" s="2" t="s">
        <v>22</v>
      </c>
      <c r="G123" t="s">
        <v>18</v>
      </c>
      <c r="H123" t="s">
        <v>20</v>
      </c>
      <c r="I123" t="s">
        <v>26</v>
      </c>
      <c r="J123" t="s">
        <v>23</v>
      </c>
    </row>
    <row r="124" spans="1:15">
      <c r="A124" t="s">
        <v>69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81</v>
      </c>
      <c r="F124" s="2" t="s">
        <v>23</v>
      </c>
      <c r="G124" t="s">
        <v>20</v>
      </c>
      <c r="H124" t="s">
        <v>17</v>
      </c>
      <c r="I124" t="s">
        <v>19</v>
      </c>
      <c r="J124" t="s">
        <v>22</v>
      </c>
    </row>
    <row r="125" spans="1:15">
      <c r="A125" t="s">
        <v>69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81</v>
      </c>
      <c r="F125" s="2" t="s">
        <v>21</v>
      </c>
      <c r="G125" t="s">
        <v>17</v>
      </c>
      <c r="H125" t="s">
        <v>25</v>
      </c>
      <c r="I125" t="s">
        <v>18</v>
      </c>
      <c r="J125" t="s">
        <v>26</v>
      </c>
    </row>
    <row r="126" spans="1:15">
      <c r="A126" t="s">
        <v>69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81</v>
      </c>
      <c r="F126" s="2" t="s">
        <v>24</v>
      </c>
      <c r="G126" t="s">
        <v>20</v>
      </c>
      <c r="H126" t="s">
        <v>17</v>
      </c>
      <c r="I126" t="s">
        <v>26</v>
      </c>
      <c r="J126" t="s">
        <v>23</v>
      </c>
    </row>
    <row r="127" spans="1:15">
      <c r="A127" t="s">
        <v>69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81</v>
      </c>
      <c r="F127" s="2" t="s">
        <v>18</v>
      </c>
      <c r="G127" t="s">
        <v>19</v>
      </c>
      <c r="H127" t="s">
        <v>25</v>
      </c>
      <c r="I127" t="s">
        <v>17</v>
      </c>
      <c r="J127" t="s">
        <v>21</v>
      </c>
    </row>
    <row r="128" spans="1:15">
      <c r="A128" t="s">
        <v>70</v>
      </c>
      <c r="B128">
        <f>1/4</f>
        <v>0.25</v>
      </c>
      <c r="C128">
        <v>1</v>
      </c>
      <c r="D128">
        <v>1.7</v>
      </c>
      <c r="E128" t="s">
        <v>81</v>
      </c>
      <c r="F128" t="s">
        <v>22</v>
      </c>
      <c r="G128" t="s">
        <v>19</v>
      </c>
      <c r="H128" t="s">
        <v>25</v>
      </c>
      <c r="I128" t="s">
        <v>26</v>
      </c>
      <c r="J128" t="s">
        <v>23</v>
      </c>
      <c r="K128" t="s">
        <v>22</v>
      </c>
      <c r="L128" t="s">
        <v>19</v>
      </c>
      <c r="M128" t="s">
        <v>25</v>
      </c>
      <c r="N128" t="s">
        <v>26</v>
      </c>
      <c r="O128" t="s">
        <v>23</v>
      </c>
    </row>
    <row r="129" spans="1:15">
      <c r="A129" t="s">
        <v>70</v>
      </c>
      <c r="B129">
        <f t="shared" ref="B129:B148" si="5">1/4</f>
        <v>0.25</v>
      </c>
      <c r="C129">
        <v>1</v>
      </c>
      <c r="D129">
        <v>1.6</v>
      </c>
      <c r="E129" t="s">
        <v>81</v>
      </c>
      <c r="F129" t="s">
        <v>21</v>
      </c>
      <c r="G129" t="s">
        <v>24</v>
      </c>
      <c r="H129" t="s">
        <v>17</v>
      </c>
      <c r="I129" t="s">
        <v>22</v>
      </c>
      <c r="J129" t="s">
        <v>18</v>
      </c>
      <c r="K129" t="s">
        <v>21</v>
      </c>
      <c r="L129" t="s">
        <v>24</v>
      </c>
      <c r="M129" t="s">
        <v>17</v>
      </c>
      <c r="N129" t="s">
        <v>22</v>
      </c>
      <c r="O129" t="s">
        <v>18</v>
      </c>
    </row>
    <row r="130" spans="1:15">
      <c r="A130" t="s">
        <v>70</v>
      </c>
      <c r="B130">
        <f t="shared" si="5"/>
        <v>0.25</v>
      </c>
      <c r="C130">
        <v>1</v>
      </c>
      <c r="D130">
        <v>1.5</v>
      </c>
      <c r="E130" t="s">
        <v>81</v>
      </c>
      <c r="F130" t="s">
        <v>26</v>
      </c>
      <c r="G130" t="s">
        <v>20</v>
      </c>
      <c r="H130" t="s">
        <v>23</v>
      </c>
      <c r="I130" t="s">
        <v>21</v>
      </c>
      <c r="J130" t="s">
        <v>22</v>
      </c>
      <c r="K130" t="s">
        <v>26</v>
      </c>
      <c r="L130" t="s">
        <v>20</v>
      </c>
      <c r="M130" t="s">
        <v>23</v>
      </c>
      <c r="N130" t="s">
        <v>21</v>
      </c>
      <c r="O130" t="s">
        <v>22</v>
      </c>
    </row>
    <row r="131" spans="1:15">
      <c r="A131" t="s">
        <v>70</v>
      </c>
      <c r="B131">
        <f t="shared" si="5"/>
        <v>0.25</v>
      </c>
      <c r="C131">
        <v>1</v>
      </c>
      <c r="D131">
        <v>1.4</v>
      </c>
      <c r="E131" t="s">
        <v>81</v>
      </c>
      <c r="F131" t="s">
        <v>18</v>
      </c>
      <c r="G131" t="s">
        <v>21</v>
      </c>
      <c r="H131" t="s">
        <v>23</v>
      </c>
      <c r="I131" t="s">
        <v>20</v>
      </c>
      <c r="J131" t="s">
        <v>26</v>
      </c>
      <c r="K131" t="s">
        <v>18</v>
      </c>
      <c r="L131" t="s">
        <v>21</v>
      </c>
      <c r="M131" t="s">
        <v>23</v>
      </c>
      <c r="N131" t="s">
        <v>20</v>
      </c>
      <c r="O131" t="s">
        <v>26</v>
      </c>
    </row>
    <row r="132" spans="1:15">
      <c r="A132" t="s">
        <v>70</v>
      </c>
      <c r="B132">
        <f t="shared" si="5"/>
        <v>0.25</v>
      </c>
      <c r="C132">
        <v>1</v>
      </c>
      <c r="D132">
        <v>1.3</v>
      </c>
      <c r="E132" t="s">
        <v>81</v>
      </c>
      <c r="F132" t="s">
        <v>23</v>
      </c>
      <c r="G132" t="s">
        <v>25</v>
      </c>
      <c r="H132" t="s">
        <v>17</v>
      </c>
      <c r="I132" t="s">
        <v>22</v>
      </c>
      <c r="J132" t="s">
        <v>21</v>
      </c>
      <c r="K132" t="s">
        <v>23</v>
      </c>
      <c r="L132" t="s">
        <v>25</v>
      </c>
      <c r="M132" t="s">
        <v>17</v>
      </c>
      <c r="N132" t="s">
        <v>22</v>
      </c>
      <c r="O132" t="s">
        <v>21</v>
      </c>
    </row>
    <row r="133" spans="1:15">
      <c r="A133" t="s">
        <v>70</v>
      </c>
      <c r="B133">
        <f t="shared" si="5"/>
        <v>0.25</v>
      </c>
      <c r="C133">
        <v>1</v>
      </c>
      <c r="D133">
        <v>1.2</v>
      </c>
      <c r="E133" t="s">
        <v>81</v>
      </c>
      <c r="F133" t="s">
        <v>18</v>
      </c>
      <c r="G133" t="s">
        <v>25</v>
      </c>
      <c r="H133" t="s">
        <v>26</v>
      </c>
      <c r="I133" t="s">
        <v>17</v>
      </c>
      <c r="J133" t="s">
        <v>24</v>
      </c>
      <c r="K133" t="s">
        <v>18</v>
      </c>
      <c r="L133" t="s">
        <v>25</v>
      </c>
      <c r="M133" t="s">
        <v>26</v>
      </c>
      <c r="N133" t="s">
        <v>17</v>
      </c>
      <c r="O133" t="s">
        <v>24</v>
      </c>
    </row>
    <row r="134" spans="1:15">
      <c r="A134" t="s">
        <v>70</v>
      </c>
      <c r="B134">
        <f t="shared" si="5"/>
        <v>0.25</v>
      </c>
      <c r="C134">
        <v>1</v>
      </c>
      <c r="D134">
        <v>1.1000000000000001</v>
      </c>
      <c r="E134" t="s">
        <v>81</v>
      </c>
      <c r="F134" t="s">
        <v>23</v>
      </c>
      <c r="G134" t="s">
        <v>20</v>
      </c>
      <c r="H134" t="s">
        <v>22</v>
      </c>
      <c r="I134" t="s">
        <v>19</v>
      </c>
      <c r="J134" t="s">
        <v>26</v>
      </c>
      <c r="K134" t="s">
        <v>23</v>
      </c>
      <c r="L134" t="s">
        <v>20</v>
      </c>
      <c r="M134" t="s">
        <v>22</v>
      </c>
      <c r="N134" t="s">
        <v>19</v>
      </c>
      <c r="O134" t="s">
        <v>26</v>
      </c>
    </row>
    <row r="135" spans="1:15">
      <c r="A135" t="s">
        <v>70</v>
      </c>
      <c r="B135">
        <f t="shared" si="5"/>
        <v>0.25</v>
      </c>
      <c r="C135">
        <v>1</v>
      </c>
      <c r="D135">
        <v>1</v>
      </c>
      <c r="E135" t="s">
        <v>81</v>
      </c>
      <c r="F135" t="s">
        <v>24</v>
      </c>
      <c r="G135" t="s">
        <v>23</v>
      </c>
      <c r="H135" t="s">
        <v>19</v>
      </c>
      <c r="I135" t="s">
        <v>20</v>
      </c>
      <c r="J135" t="s">
        <v>18</v>
      </c>
      <c r="K135" t="s">
        <v>24</v>
      </c>
      <c r="L135" t="s">
        <v>23</v>
      </c>
      <c r="M135" t="s">
        <v>19</v>
      </c>
      <c r="N135" t="s">
        <v>20</v>
      </c>
      <c r="O135" t="s">
        <v>18</v>
      </c>
    </row>
    <row r="136" spans="1:15">
      <c r="A136" t="s">
        <v>70</v>
      </c>
      <c r="B136">
        <f t="shared" si="5"/>
        <v>0.25</v>
      </c>
      <c r="C136">
        <v>1</v>
      </c>
      <c r="D136">
        <v>0.90000000000000102</v>
      </c>
      <c r="E136" t="s">
        <v>81</v>
      </c>
      <c r="F136" t="s">
        <v>25</v>
      </c>
      <c r="G136" t="s">
        <v>26</v>
      </c>
      <c r="H136" t="s">
        <v>20</v>
      </c>
      <c r="I136" t="s">
        <v>24</v>
      </c>
      <c r="J136" t="s">
        <v>17</v>
      </c>
      <c r="K136" t="s">
        <v>25</v>
      </c>
      <c r="L136" t="s">
        <v>26</v>
      </c>
      <c r="M136" t="s">
        <v>20</v>
      </c>
      <c r="N136" t="s">
        <v>24</v>
      </c>
      <c r="O136" t="s">
        <v>17</v>
      </c>
    </row>
    <row r="137" spans="1:15">
      <c r="A137" t="s">
        <v>70</v>
      </c>
      <c r="B137">
        <f t="shared" si="5"/>
        <v>0.25</v>
      </c>
      <c r="C137">
        <v>1</v>
      </c>
      <c r="D137">
        <v>0.80000000000000104</v>
      </c>
      <c r="E137" t="s">
        <v>81</v>
      </c>
      <c r="F137" t="s">
        <v>24</v>
      </c>
      <c r="G137" t="s">
        <v>25</v>
      </c>
      <c r="H137" t="s">
        <v>19</v>
      </c>
      <c r="I137" t="s">
        <v>22</v>
      </c>
      <c r="J137" t="s">
        <v>17</v>
      </c>
      <c r="K137" t="s">
        <v>24</v>
      </c>
      <c r="L137" t="s">
        <v>25</v>
      </c>
      <c r="M137" t="s">
        <v>19</v>
      </c>
      <c r="N137" t="s">
        <v>22</v>
      </c>
      <c r="O137" t="s">
        <v>17</v>
      </c>
    </row>
    <row r="138" spans="1:15">
      <c r="A138" t="s">
        <v>70</v>
      </c>
      <c r="B138">
        <f t="shared" si="5"/>
        <v>0.25</v>
      </c>
      <c r="C138">
        <v>1</v>
      </c>
      <c r="D138">
        <v>0.70000000000000095</v>
      </c>
      <c r="E138" t="s">
        <v>81</v>
      </c>
      <c r="F138" t="s">
        <v>18</v>
      </c>
      <c r="G138" t="s">
        <v>25</v>
      </c>
      <c r="H138" t="s">
        <v>17</v>
      </c>
      <c r="I138" t="s">
        <v>19</v>
      </c>
      <c r="J138" t="s">
        <v>21</v>
      </c>
      <c r="K138" t="s">
        <v>18</v>
      </c>
      <c r="L138" t="s">
        <v>25</v>
      </c>
      <c r="M138" t="s">
        <v>17</v>
      </c>
      <c r="N138" t="s">
        <v>19</v>
      </c>
      <c r="O138" t="s">
        <v>21</v>
      </c>
    </row>
    <row r="139" spans="1:15">
      <c r="A139" t="s">
        <v>70</v>
      </c>
      <c r="B139">
        <f t="shared" si="5"/>
        <v>0.25</v>
      </c>
      <c r="C139">
        <v>1</v>
      </c>
      <c r="D139">
        <v>0.6</v>
      </c>
      <c r="E139" t="s">
        <v>81</v>
      </c>
      <c r="F139" t="s">
        <v>24</v>
      </c>
      <c r="G139" t="s">
        <v>21</v>
      </c>
      <c r="H139" t="s">
        <v>23</v>
      </c>
      <c r="I139" t="s">
        <v>26</v>
      </c>
      <c r="J139" t="s">
        <v>25</v>
      </c>
      <c r="K139" t="s">
        <v>24</v>
      </c>
      <c r="L139" t="s">
        <v>21</v>
      </c>
      <c r="M139" t="s">
        <v>23</v>
      </c>
      <c r="N139" t="s">
        <v>26</v>
      </c>
      <c r="O139" t="s">
        <v>25</v>
      </c>
    </row>
    <row r="140" spans="1:15">
      <c r="A140" t="s">
        <v>70</v>
      </c>
      <c r="B140">
        <f t="shared" si="5"/>
        <v>0.25</v>
      </c>
      <c r="C140">
        <v>1</v>
      </c>
      <c r="D140">
        <v>0.5</v>
      </c>
      <c r="E140" t="s">
        <v>81</v>
      </c>
      <c r="F140" t="s">
        <v>25</v>
      </c>
      <c r="G140" t="s">
        <v>26</v>
      </c>
      <c r="H140" t="s">
        <v>21</v>
      </c>
      <c r="I140" t="s">
        <v>23</v>
      </c>
      <c r="J140" t="s">
        <v>19</v>
      </c>
      <c r="K140" t="s">
        <v>25</v>
      </c>
      <c r="L140" t="s">
        <v>26</v>
      </c>
      <c r="M140" t="s">
        <v>21</v>
      </c>
      <c r="N140" t="s">
        <v>23</v>
      </c>
      <c r="O140" t="s">
        <v>19</v>
      </c>
    </row>
    <row r="141" spans="1:15">
      <c r="A141" t="s">
        <v>70</v>
      </c>
      <c r="B141">
        <f t="shared" si="5"/>
        <v>0.25</v>
      </c>
      <c r="C141">
        <v>1</v>
      </c>
      <c r="D141">
        <v>0.4</v>
      </c>
      <c r="E141" t="s">
        <v>81</v>
      </c>
      <c r="F141" t="s">
        <v>26</v>
      </c>
      <c r="G141" t="s">
        <v>18</v>
      </c>
      <c r="H141" t="s">
        <v>17</v>
      </c>
      <c r="I141" t="s">
        <v>24</v>
      </c>
      <c r="J141" t="s">
        <v>19</v>
      </c>
      <c r="K141" t="s">
        <v>26</v>
      </c>
      <c r="L141" t="s">
        <v>18</v>
      </c>
      <c r="M141" t="s">
        <v>17</v>
      </c>
      <c r="N141" t="s">
        <v>24</v>
      </c>
      <c r="O141" t="s">
        <v>19</v>
      </c>
    </row>
    <row r="142" spans="1:15">
      <c r="A142" t="s">
        <v>70</v>
      </c>
      <c r="B142">
        <f t="shared" si="5"/>
        <v>0.25</v>
      </c>
      <c r="C142">
        <v>1</v>
      </c>
      <c r="D142">
        <v>0.3</v>
      </c>
      <c r="E142" t="s">
        <v>81</v>
      </c>
      <c r="F142" t="s">
        <v>17</v>
      </c>
      <c r="G142" t="s">
        <v>21</v>
      </c>
      <c r="H142" t="s">
        <v>23</v>
      </c>
      <c r="I142" t="s">
        <v>20</v>
      </c>
      <c r="J142" t="s">
        <v>18</v>
      </c>
      <c r="K142" t="s">
        <v>17</v>
      </c>
      <c r="L142" t="s">
        <v>21</v>
      </c>
      <c r="M142" t="s">
        <v>23</v>
      </c>
      <c r="N142" t="s">
        <v>20</v>
      </c>
      <c r="O142" t="s">
        <v>18</v>
      </c>
    </row>
    <row r="143" spans="1:15">
      <c r="A143" t="s">
        <v>70</v>
      </c>
      <c r="B143">
        <f t="shared" si="5"/>
        <v>0.25</v>
      </c>
      <c r="C143">
        <v>1</v>
      </c>
      <c r="D143">
        <v>0.2</v>
      </c>
      <c r="E143" t="s">
        <v>81</v>
      </c>
      <c r="F143" t="s">
        <v>18</v>
      </c>
      <c r="G143" t="s">
        <v>19</v>
      </c>
      <c r="H143" t="s">
        <v>22</v>
      </c>
      <c r="I143" t="s">
        <v>26</v>
      </c>
      <c r="J143" t="s">
        <v>20</v>
      </c>
      <c r="K143" t="s">
        <v>18</v>
      </c>
      <c r="M143" t="s">
        <v>22</v>
      </c>
      <c r="N143" t="s">
        <v>26</v>
      </c>
    </row>
    <row r="144" spans="1:15">
      <c r="A144" t="s">
        <v>70</v>
      </c>
      <c r="B144">
        <f t="shared" si="5"/>
        <v>0.25</v>
      </c>
      <c r="C144">
        <v>1</v>
      </c>
      <c r="D144">
        <v>9.9999999999999895E-2</v>
      </c>
      <c r="E144" t="s">
        <v>81</v>
      </c>
      <c r="F144" t="s">
        <v>17</v>
      </c>
      <c r="G144" t="s">
        <v>26</v>
      </c>
      <c r="H144" t="s">
        <v>20</v>
      </c>
      <c r="I144" t="s">
        <v>25</v>
      </c>
      <c r="J144" t="s">
        <v>19</v>
      </c>
    </row>
    <row r="145" spans="1:15">
      <c r="A145" t="s">
        <v>70</v>
      </c>
      <c r="B145">
        <f t="shared" si="5"/>
        <v>0.25</v>
      </c>
      <c r="C145">
        <v>1</v>
      </c>
      <c r="D145">
        <v>0</v>
      </c>
      <c r="E145" t="s">
        <v>81</v>
      </c>
      <c r="F145" t="s">
        <v>18</v>
      </c>
      <c r="G145" t="s">
        <v>22</v>
      </c>
      <c r="H145" t="s">
        <v>19</v>
      </c>
      <c r="I145" t="s">
        <v>26</v>
      </c>
      <c r="J145" t="s">
        <v>17</v>
      </c>
    </row>
    <row r="146" spans="1:15">
      <c r="A146" t="s">
        <v>70</v>
      </c>
      <c r="B146">
        <f t="shared" si="5"/>
        <v>0.25</v>
      </c>
      <c r="C146">
        <v>1</v>
      </c>
      <c r="D146">
        <v>-0.1</v>
      </c>
      <c r="E146" t="s">
        <v>81</v>
      </c>
      <c r="F146" t="s">
        <v>21</v>
      </c>
      <c r="G146" t="s">
        <v>26</v>
      </c>
      <c r="H146" t="s">
        <v>19</v>
      </c>
      <c r="I146" t="s">
        <v>24</v>
      </c>
      <c r="J146" t="s">
        <v>25</v>
      </c>
    </row>
    <row r="147" spans="1:15">
      <c r="A147" t="s">
        <v>70</v>
      </c>
      <c r="B147">
        <f t="shared" si="5"/>
        <v>0.25</v>
      </c>
      <c r="C147">
        <v>1</v>
      </c>
      <c r="D147">
        <v>-0.2</v>
      </c>
      <c r="E147" t="s">
        <v>81</v>
      </c>
      <c r="F147" t="s">
        <v>24</v>
      </c>
      <c r="G147" t="s">
        <v>22</v>
      </c>
      <c r="H147" t="s">
        <v>19</v>
      </c>
      <c r="I147" t="s">
        <v>23</v>
      </c>
      <c r="J147" t="s">
        <v>20</v>
      </c>
    </row>
    <row r="148" spans="1:15">
      <c r="A148" t="s">
        <v>70</v>
      </c>
      <c r="B148">
        <f t="shared" si="5"/>
        <v>0.25</v>
      </c>
      <c r="C148">
        <v>1</v>
      </c>
      <c r="D148">
        <v>-0.3</v>
      </c>
      <c r="E148" t="s">
        <v>81</v>
      </c>
      <c r="F148" t="s">
        <v>20</v>
      </c>
      <c r="G148" t="s">
        <v>26</v>
      </c>
      <c r="H148" t="s">
        <v>17</v>
      </c>
      <c r="I148" t="s">
        <v>23</v>
      </c>
      <c r="J148" t="s">
        <v>24</v>
      </c>
    </row>
    <row r="149" spans="1:15">
      <c r="A149" t="s">
        <v>71</v>
      </c>
      <c r="B149">
        <f>1/7.49</f>
        <v>0.13351134846461948</v>
      </c>
      <c r="C149">
        <f>4/7.49</f>
        <v>0.53404539385847793</v>
      </c>
      <c r="D149">
        <v>1.7</v>
      </c>
      <c r="E149" t="s">
        <v>81</v>
      </c>
      <c r="F149" t="s">
        <v>23</v>
      </c>
      <c r="G149" t="s">
        <v>21</v>
      </c>
      <c r="H149" t="s">
        <v>20</v>
      </c>
      <c r="I149" t="s">
        <v>17</v>
      </c>
      <c r="J149" t="s">
        <v>18</v>
      </c>
      <c r="K149" t="s">
        <v>23</v>
      </c>
      <c r="L149" t="s">
        <v>21</v>
      </c>
      <c r="M149" t="s">
        <v>20</v>
      </c>
      <c r="N149" t="s">
        <v>17</v>
      </c>
      <c r="O149" t="s">
        <v>18</v>
      </c>
    </row>
    <row r="150" spans="1:15">
      <c r="A150" t="s">
        <v>71</v>
      </c>
      <c r="B150">
        <f t="shared" ref="B150:B169" si="6">1/7.49</f>
        <v>0.13351134846461948</v>
      </c>
      <c r="C150">
        <f t="shared" ref="C150:C169" si="7">4/7.49</f>
        <v>0.53404539385847793</v>
      </c>
      <c r="D150">
        <v>1.6</v>
      </c>
      <c r="E150" t="s">
        <v>81</v>
      </c>
      <c r="F150" t="s">
        <v>24</v>
      </c>
      <c r="G150" t="s">
        <v>21</v>
      </c>
      <c r="H150" t="s">
        <v>25</v>
      </c>
      <c r="I150" t="s">
        <v>23</v>
      </c>
      <c r="J150" t="s">
        <v>26</v>
      </c>
      <c r="K150" t="s">
        <v>24</v>
      </c>
      <c r="L150" t="s">
        <v>21</v>
      </c>
      <c r="M150" t="s">
        <v>25</v>
      </c>
      <c r="N150" t="s">
        <v>23</v>
      </c>
      <c r="O150" t="s">
        <v>26</v>
      </c>
    </row>
    <row r="151" spans="1:15">
      <c r="A151" t="s">
        <v>71</v>
      </c>
      <c r="B151">
        <f t="shared" si="6"/>
        <v>0.13351134846461948</v>
      </c>
      <c r="C151">
        <f t="shared" si="7"/>
        <v>0.53404539385847793</v>
      </c>
      <c r="D151">
        <v>1.5</v>
      </c>
      <c r="E151" t="s">
        <v>81</v>
      </c>
      <c r="F151" t="s">
        <v>24</v>
      </c>
      <c r="G151" t="s">
        <v>22</v>
      </c>
      <c r="H151" t="s">
        <v>19</v>
      </c>
      <c r="I151" t="s">
        <v>23</v>
      </c>
      <c r="J151" t="s">
        <v>17</v>
      </c>
      <c r="K151" t="s">
        <v>24</v>
      </c>
      <c r="L151" t="s">
        <v>22</v>
      </c>
      <c r="M151" t="s">
        <v>19</v>
      </c>
      <c r="N151" t="s">
        <v>23</v>
      </c>
      <c r="O151" t="s">
        <v>17</v>
      </c>
    </row>
    <row r="152" spans="1:15">
      <c r="A152" t="s">
        <v>71</v>
      </c>
      <c r="B152">
        <f t="shared" si="6"/>
        <v>0.13351134846461948</v>
      </c>
      <c r="C152">
        <f t="shared" si="7"/>
        <v>0.53404539385847793</v>
      </c>
      <c r="D152">
        <v>1.4</v>
      </c>
      <c r="E152" t="s">
        <v>81</v>
      </c>
      <c r="F152" t="s">
        <v>21</v>
      </c>
      <c r="G152" t="s">
        <v>26</v>
      </c>
      <c r="H152" t="s">
        <v>20</v>
      </c>
      <c r="I152" t="s">
        <v>24</v>
      </c>
      <c r="J152" t="s">
        <v>19</v>
      </c>
      <c r="K152" t="s">
        <v>21</v>
      </c>
      <c r="L152" t="s">
        <v>26</v>
      </c>
      <c r="M152" t="s">
        <v>20</v>
      </c>
      <c r="N152" t="s">
        <v>24</v>
      </c>
      <c r="O152" t="s">
        <v>19</v>
      </c>
    </row>
    <row r="153" spans="1:15">
      <c r="A153" t="s">
        <v>71</v>
      </c>
      <c r="B153">
        <f t="shared" si="6"/>
        <v>0.13351134846461948</v>
      </c>
      <c r="C153">
        <f t="shared" si="7"/>
        <v>0.53404539385847793</v>
      </c>
      <c r="D153">
        <v>1.3</v>
      </c>
      <c r="E153" t="s">
        <v>81</v>
      </c>
      <c r="F153" t="s">
        <v>18</v>
      </c>
      <c r="G153" t="s">
        <v>23</v>
      </c>
      <c r="H153" t="s">
        <v>19</v>
      </c>
      <c r="I153" t="s">
        <v>24</v>
      </c>
      <c r="J153" t="s">
        <v>17</v>
      </c>
      <c r="K153" t="s">
        <v>18</v>
      </c>
      <c r="L153" t="s">
        <v>23</v>
      </c>
      <c r="M153" t="s">
        <v>19</v>
      </c>
      <c r="N153" t="s">
        <v>24</v>
      </c>
      <c r="O153" t="s">
        <v>17</v>
      </c>
    </row>
    <row r="154" spans="1:15">
      <c r="A154" t="s">
        <v>71</v>
      </c>
      <c r="B154">
        <f t="shared" si="6"/>
        <v>0.13351134846461948</v>
      </c>
      <c r="C154">
        <f t="shared" si="7"/>
        <v>0.53404539385847793</v>
      </c>
      <c r="D154">
        <v>1.2</v>
      </c>
      <c r="E154" t="s">
        <v>81</v>
      </c>
      <c r="F154" t="s">
        <v>24</v>
      </c>
      <c r="G154" t="s">
        <v>20</v>
      </c>
      <c r="H154" t="s">
        <v>25</v>
      </c>
      <c r="I154" t="s">
        <v>21</v>
      </c>
      <c r="J154" t="s">
        <v>17</v>
      </c>
      <c r="K154" t="s">
        <v>24</v>
      </c>
      <c r="L154" t="s">
        <v>20</v>
      </c>
      <c r="M154" t="s">
        <v>25</v>
      </c>
      <c r="N154" t="s">
        <v>21</v>
      </c>
      <c r="O154" t="s">
        <v>17</v>
      </c>
    </row>
    <row r="155" spans="1:15">
      <c r="A155" t="s">
        <v>71</v>
      </c>
      <c r="B155">
        <f t="shared" si="6"/>
        <v>0.13351134846461948</v>
      </c>
      <c r="C155">
        <f t="shared" si="7"/>
        <v>0.53404539385847793</v>
      </c>
      <c r="D155">
        <v>1.1000000000000001</v>
      </c>
      <c r="E155" t="s">
        <v>81</v>
      </c>
      <c r="F155" t="s">
        <v>19</v>
      </c>
      <c r="G155" t="s">
        <v>22</v>
      </c>
      <c r="H155" t="s">
        <v>17</v>
      </c>
      <c r="I155" t="s">
        <v>26</v>
      </c>
      <c r="J155" t="s">
        <v>25</v>
      </c>
      <c r="K155" t="s">
        <v>19</v>
      </c>
      <c r="L155" t="s">
        <v>22</v>
      </c>
      <c r="M155" t="s">
        <v>17</v>
      </c>
      <c r="N155" t="s">
        <v>26</v>
      </c>
      <c r="O155" t="s">
        <v>25</v>
      </c>
    </row>
    <row r="156" spans="1:15">
      <c r="A156" t="s">
        <v>71</v>
      </c>
      <c r="B156">
        <f t="shared" si="6"/>
        <v>0.13351134846461948</v>
      </c>
      <c r="C156">
        <f t="shared" si="7"/>
        <v>0.53404539385847793</v>
      </c>
      <c r="D156">
        <v>1</v>
      </c>
      <c r="E156" t="s">
        <v>81</v>
      </c>
      <c r="F156" t="s">
        <v>18</v>
      </c>
      <c r="G156" t="s">
        <v>24</v>
      </c>
      <c r="H156" t="s">
        <v>26</v>
      </c>
      <c r="I156" t="s">
        <v>21</v>
      </c>
      <c r="J156" t="s">
        <v>22</v>
      </c>
      <c r="K156" t="s">
        <v>18</v>
      </c>
      <c r="L156" t="s">
        <v>24</v>
      </c>
      <c r="M156" t="s">
        <v>26</v>
      </c>
      <c r="N156" t="s">
        <v>21</v>
      </c>
      <c r="O156" t="s">
        <v>22</v>
      </c>
    </row>
    <row r="157" spans="1:15">
      <c r="A157" t="s">
        <v>71</v>
      </c>
      <c r="B157">
        <f t="shared" si="6"/>
        <v>0.13351134846461948</v>
      </c>
      <c r="C157">
        <f t="shared" si="7"/>
        <v>0.53404539385847793</v>
      </c>
      <c r="D157">
        <v>0.90000000000000102</v>
      </c>
      <c r="E157" t="s">
        <v>81</v>
      </c>
      <c r="F157" t="s">
        <v>22</v>
      </c>
      <c r="G157" t="s">
        <v>24</v>
      </c>
      <c r="H157" t="s">
        <v>17</v>
      </c>
      <c r="I157" t="s">
        <v>18</v>
      </c>
      <c r="J157" t="s">
        <v>19</v>
      </c>
      <c r="K157" t="s">
        <v>22</v>
      </c>
      <c r="L157" t="s">
        <v>24</v>
      </c>
      <c r="M157" t="s">
        <v>17</v>
      </c>
      <c r="N157" t="s">
        <v>18</v>
      </c>
      <c r="O157" t="s">
        <v>19</v>
      </c>
    </row>
    <row r="158" spans="1:15">
      <c r="A158" t="s">
        <v>71</v>
      </c>
      <c r="B158">
        <f t="shared" si="6"/>
        <v>0.13351134846461948</v>
      </c>
      <c r="C158">
        <f t="shared" si="7"/>
        <v>0.53404539385847793</v>
      </c>
      <c r="D158">
        <v>0.80000000000000104</v>
      </c>
      <c r="E158" t="s">
        <v>81</v>
      </c>
      <c r="F158" t="s">
        <v>24</v>
      </c>
      <c r="G158" t="s">
        <v>23</v>
      </c>
      <c r="H158" t="s">
        <v>20</v>
      </c>
      <c r="I158" t="s">
        <v>25</v>
      </c>
      <c r="J158" t="s">
        <v>17</v>
      </c>
      <c r="K158" t="s">
        <v>24</v>
      </c>
      <c r="L158" t="s">
        <v>23</v>
      </c>
      <c r="M158" t="s">
        <v>20</v>
      </c>
      <c r="N158" t="s">
        <v>25</v>
      </c>
      <c r="O158" t="s">
        <v>17</v>
      </c>
    </row>
    <row r="159" spans="1:15">
      <c r="A159" t="s">
        <v>71</v>
      </c>
      <c r="B159">
        <f t="shared" si="6"/>
        <v>0.13351134846461948</v>
      </c>
      <c r="C159">
        <f t="shared" si="7"/>
        <v>0.53404539385847793</v>
      </c>
      <c r="D159">
        <v>0.70000000000000095</v>
      </c>
      <c r="E159" t="s">
        <v>81</v>
      </c>
      <c r="F159" t="s">
        <v>25</v>
      </c>
      <c r="G159" t="s">
        <v>19</v>
      </c>
      <c r="H159" t="s">
        <v>23</v>
      </c>
      <c r="I159" t="s">
        <v>21</v>
      </c>
      <c r="J159" t="s">
        <v>24</v>
      </c>
      <c r="K159" t="s">
        <v>25</v>
      </c>
      <c r="L159" t="s">
        <v>19</v>
      </c>
      <c r="M159" t="s">
        <v>23</v>
      </c>
      <c r="N159" t="s">
        <v>21</v>
      </c>
      <c r="O159" t="s">
        <v>24</v>
      </c>
    </row>
    <row r="160" spans="1:15">
      <c r="A160" t="s">
        <v>71</v>
      </c>
      <c r="B160">
        <f t="shared" si="6"/>
        <v>0.13351134846461948</v>
      </c>
      <c r="C160">
        <f t="shared" si="7"/>
        <v>0.53404539385847793</v>
      </c>
      <c r="D160">
        <v>0.6</v>
      </c>
      <c r="E160" t="s">
        <v>81</v>
      </c>
      <c r="F160" t="s">
        <v>21</v>
      </c>
      <c r="G160" t="s">
        <v>17</v>
      </c>
      <c r="H160" t="s">
        <v>22</v>
      </c>
      <c r="I160" t="s">
        <v>26</v>
      </c>
      <c r="J160" t="s">
        <v>18</v>
      </c>
      <c r="K160" t="s">
        <v>21</v>
      </c>
      <c r="L160" t="s">
        <v>17</v>
      </c>
      <c r="M160" t="s">
        <v>22</v>
      </c>
      <c r="N160" t="s">
        <v>26</v>
      </c>
      <c r="O160" t="s">
        <v>18</v>
      </c>
    </row>
    <row r="161" spans="1:15">
      <c r="A161" t="s">
        <v>71</v>
      </c>
      <c r="B161">
        <f t="shared" si="6"/>
        <v>0.13351134846461948</v>
      </c>
      <c r="C161">
        <f t="shared" si="7"/>
        <v>0.53404539385847793</v>
      </c>
      <c r="D161">
        <v>0.5</v>
      </c>
      <c r="E161" t="s">
        <v>81</v>
      </c>
      <c r="F161" t="s">
        <v>25</v>
      </c>
      <c r="G161" t="s">
        <v>26</v>
      </c>
      <c r="H161" t="s">
        <v>17</v>
      </c>
      <c r="I161" t="s">
        <v>20</v>
      </c>
      <c r="J161" t="s">
        <v>23</v>
      </c>
      <c r="K161" t="s">
        <v>25</v>
      </c>
      <c r="L161" t="s">
        <v>26</v>
      </c>
    </row>
    <row r="162" spans="1:15">
      <c r="A162" t="s">
        <v>71</v>
      </c>
      <c r="B162">
        <f t="shared" si="6"/>
        <v>0.13351134846461948</v>
      </c>
      <c r="C162">
        <f t="shared" si="7"/>
        <v>0.53404539385847793</v>
      </c>
      <c r="D162">
        <v>0.4</v>
      </c>
      <c r="E162" t="s">
        <v>81</v>
      </c>
      <c r="F162" t="s">
        <v>22</v>
      </c>
      <c r="G162" t="s">
        <v>21</v>
      </c>
      <c r="H162" t="s">
        <v>25</v>
      </c>
      <c r="I162" t="s">
        <v>24</v>
      </c>
      <c r="J162" t="s">
        <v>19</v>
      </c>
    </row>
    <row r="163" spans="1:15">
      <c r="A163" t="s">
        <v>71</v>
      </c>
      <c r="B163">
        <f t="shared" si="6"/>
        <v>0.13351134846461948</v>
      </c>
      <c r="C163">
        <f t="shared" si="7"/>
        <v>0.53404539385847793</v>
      </c>
      <c r="D163">
        <v>0.3</v>
      </c>
      <c r="E163" t="s">
        <v>81</v>
      </c>
      <c r="F163" t="s">
        <v>23</v>
      </c>
      <c r="G163" t="s">
        <v>22</v>
      </c>
      <c r="H163" t="s">
        <v>24</v>
      </c>
      <c r="I163" t="s">
        <v>21</v>
      </c>
      <c r="J163" t="s">
        <v>19</v>
      </c>
    </row>
    <row r="164" spans="1:15">
      <c r="A164" t="s">
        <v>71</v>
      </c>
      <c r="B164">
        <f t="shared" si="6"/>
        <v>0.13351134846461948</v>
      </c>
      <c r="C164">
        <f t="shared" si="7"/>
        <v>0.53404539385847793</v>
      </c>
      <c r="D164">
        <v>0.2</v>
      </c>
      <c r="E164" t="s">
        <v>81</v>
      </c>
      <c r="F164" t="s">
        <v>24</v>
      </c>
      <c r="G164" t="s">
        <v>22</v>
      </c>
      <c r="H164" t="s">
        <v>21</v>
      </c>
      <c r="I164" t="s">
        <v>26</v>
      </c>
      <c r="J164" t="s">
        <v>25</v>
      </c>
    </row>
    <row r="165" spans="1:15">
      <c r="A165" t="s">
        <v>71</v>
      </c>
      <c r="B165">
        <f t="shared" si="6"/>
        <v>0.13351134846461948</v>
      </c>
      <c r="C165">
        <f t="shared" si="7"/>
        <v>0.53404539385847793</v>
      </c>
      <c r="D165">
        <v>9.9999999999999895E-2</v>
      </c>
      <c r="E165" t="s">
        <v>81</v>
      </c>
      <c r="F165" t="s">
        <v>26</v>
      </c>
      <c r="G165" t="s">
        <v>19</v>
      </c>
      <c r="H165" t="s">
        <v>23</v>
      </c>
      <c r="I165" t="s">
        <v>17</v>
      </c>
      <c r="J165" t="s">
        <v>24</v>
      </c>
    </row>
    <row r="166" spans="1:15">
      <c r="A166" t="s">
        <v>71</v>
      </c>
      <c r="B166">
        <f t="shared" si="6"/>
        <v>0.13351134846461948</v>
      </c>
      <c r="C166">
        <f t="shared" si="7"/>
        <v>0.53404539385847793</v>
      </c>
      <c r="D166">
        <v>0</v>
      </c>
      <c r="E166" t="s">
        <v>81</v>
      </c>
      <c r="F166" t="s">
        <v>18</v>
      </c>
      <c r="G166" t="s">
        <v>24</v>
      </c>
      <c r="H166" t="s">
        <v>21</v>
      </c>
      <c r="I166" t="s">
        <v>23</v>
      </c>
      <c r="J166" t="s">
        <v>22</v>
      </c>
    </row>
    <row r="167" spans="1:15">
      <c r="A167" t="s">
        <v>71</v>
      </c>
      <c r="B167">
        <f t="shared" si="6"/>
        <v>0.13351134846461948</v>
      </c>
      <c r="C167">
        <f t="shared" si="7"/>
        <v>0.53404539385847793</v>
      </c>
      <c r="D167">
        <v>-0.1</v>
      </c>
      <c r="E167" t="s">
        <v>81</v>
      </c>
      <c r="F167" t="s">
        <v>24</v>
      </c>
      <c r="G167" t="s">
        <v>22</v>
      </c>
      <c r="H167" t="s">
        <v>26</v>
      </c>
      <c r="I167" t="s">
        <v>17</v>
      </c>
      <c r="J167" t="s">
        <v>25</v>
      </c>
    </row>
    <row r="168" spans="1:15">
      <c r="A168" t="s">
        <v>71</v>
      </c>
      <c r="B168">
        <f t="shared" si="6"/>
        <v>0.13351134846461948</v>
      </c>
      <c r="C168">
        <f t="shared" si="7"/>
        <v>0.53404539385847793</v>
      </c>
      <c r="D168">
        <v>-0.2</v>
      </c>
      <c r="E168" t="s">
        <v>81</v>
      </c>
      <c r="F168" t="s">
        <v>17</v>
      </c>
      <c r="G168" t="s">
        <v>22</v>
      </c>
      <c r="H168" t="s">
        <v>26</v>
      </c>
      <c r="I168" t="s">
        <v>19</v>
      </c>
      <c r="J168" t="s">
        <v>24</v>
      </c>
    </row>
    <row r="169" spans="1:15">
      <c r="A169" t="s">
        <v>71</v>
      </c>
      <c r="B169">
        <f t="shared" si="6"/>
        <v>0.13351134846461948</v>
      </c>
      <c r="C169">
        <f t="shared" si="7"/>
        <v>0.53404539385847793</v>
      </c>
      <c r="D169">
        <v>-0.3</v>
      </c>
      <c r="E169" t="s">
        <v>81</v>
      </c>
      <c r="F169" t="s">
        <v>18</v>
      </c>
      <c r="G169" t="s">
        <v>24</v>
      </c>
      <c r="H169" t="s">
        <v>21</v>
      </c>
      <c r="I169" t="s">
        <v>22</v>
      </c>
      <c r="J169" t="s">
        <v>17</v>
      </c>
    </row>
    <row r="170" spans="1:15">
      <c r="A170" t="s">
        <v>72</v>
      </c>
      <c r="B170">
        <f>1/13.92</f>
        <v>7.183908045977011E-2</v>
      </c>
      <c r="C170">
        <f>4/13.92</f>
        <v>0.28735632183908044</v>
      </c>
      <c r="D170">
        <v>1.7</v>
      </c>
      <c r="E170" t="s">
        <v>81</v>
      </c>
      <c r="F170" t="s">
        <v>20</v>
      </c>
      <c r="G170" t="s">
        <v>18</v>
      </c>
      <c r="H170" t="s">
        <v>25</v>
      </c>
      <c r="I170" t="s">
        <v>22</v>
      </c>
      <c r="J170" t="s">
        <v>21</v>
      </c>
      <c r="K170" t="s">
        <v>20</v>
      </c>
      <c r="L170" t="s">
        <v>18</v>
      </c>
      <c r="M170" t="s">
        <v>25</v>
      </c>
      <c r="N170" t="s">
        <v>22</v>
      </c>
      <c r="O170" t="s">
        <v>21</v>
      </c>
    </row>
    <row r="171" spans="1:15">
      <c r="A171" t="s">
        <v>72</v>
      </c>
      <c r="B171">
        <f t="shared" ref="B171:B190" si="8">1/13.92</f>
        <v>7.183908045977011E-2</v>
      </c>
      <c r="C171">
        <f t="shared" ref="C171:C190" si="9">4/13.92</f>
        <v>0.28735632183908044</v>
      </c>
      <c r="D171">
        <v>1.6</v>
      </c>
      <c r="E171" t="s">
        <v>81</v>
      </c>
      <c r="F171" t="s">
        <v>26</v>
      </c>
      <c r="G171" t="s">
        <v>19</v>
      </c>
      <c r="H171" t="s">
        <v>23</v>
      </c>
      <c r="I171" t="s">
        <v>20</v>
      </c>
      <c r="J171" t="s">
        <v>25</v>
      </c>
      <c r="K171" t="s">
        <v>26</v>
      </c>
      <c r="L171" t="s">
        <v>19</v>
      </c>
      <c r="M171" t="s">
        <v>23</v>
      </c>
      <c r="N171" t="s">
        <v>20</v>
      </c>
      <c r="O171" t="s">
        <v>25</v>
      </c>
    </row>
    <row r="172" spans="1:15">
      <c r="A172" t="s">
        <v>72</v>
      </c>
      <c r="B172">
        <f t="shared" si="8"/>
        <v>7.183908045977011E-2</v>
      </c>
      <c r="C172">
        <f t="shared" si="9"/>
        <v>0.28735632183908044</v>
      </c>
      <c r="D172">
        <v>1.5</v>
      </c>
      <c r="E172" t="s">
        <v>81</v>
      </c>
      <c r="F172" t="s">
        <v>22</v>
      </c>
      <c r="G172" t="s">
        <v>18</v>
      </c>
      <c r="H172" t="s">
        <v>20</v>
      </c>
      <c r="I172" t="s">
        <v>23</v>
      </c>
      <c r="J172" t="s">
        <v>17</v>
      </c>
      <c r="K172" t="s">
        <v>22</v>
      </c>
      <c r="L172" t="s">
        <v>18</v>
      </c>
      <c r="M172" t="s">
        <v>20</v>
      </c>
      <c r="N172" t="s">
        <v>23</v>
      </c>
      <c r="O172" t="s">
        <v>17</v>
      </c>
    </row>
    <row r="173" spans="1:15">
      <c r="A173" t="s">
        <v>72</v>
      </c>
      <c r="B173">
        <f t="shared" si="8"/>
        <v>7.183908045977011E-2</v>
      </c>
      <c r="C173">
        <f t="shared" si="9"/>
        <v>0.28735632183908044</v>
      </c>
      <c r="D173">
        <v>1.4</v>
      </c>
      <c r="E173" t="s">
        <v>81</v>
      </c>
      <c r="F173" t="s">
        <v>26</v>
      </c>
      <c r="G173" t="s">
        <v>18</v>
      </c>
      <c r="H173" t="s">
        <v>22</v>
      </c>
      <c r="I173" t="s">
        <v>24</v>
      </c>
      <c r="J173" t="s">
        <v>19</v>
      </c>
      <c r="K173" t="s">
        <v>26</v>
      </c>
      <c r="L173" t="s">
        <v>18</v>
      </c>
      <c r="M173" t="s">
        <v>22</v>
      </c>
      <c r="N173" t="s">
        <v>24</v>
      </c>
      <c r="O173" t="s">
        <v>19</v>
      </c>
    </row>
    <row r="174" spans="1:15">
      <c r="A174" t="s">
        <v>72</v>
      </c>
      <c r="B174">
        <f t="shared" si="8"/>
        <v>7.183908045977011E-2</v>
      </c>
      <c r="C174">
        <f t="shared" si="9"/>
        <v>0.28735632183908044</v>
      </c>
      <c r="D174">
        <v>1.3</v>
      </c>
      <c r="E174" t="s">
        <v>81</v>
      </c>
      <c r="F174" t="s">
        <v>22</v>
      </c>
      <c r="G174" t="s">
        <v>17</v>
      </c>
      <c r="H174" t="s">
        <v>25</v>
      </c>
      <c r="I174" t="s">
        <v>23</v>
      </c>
      <c r="J174" t="s">
        <v>19</v>
      </c>
      <c r="K174" t="s">
        <v>22</v>
      </c>
      <c r="L174" t="s">
        <v>17</v>
      </c>
      <c r="M174" t="s">
        <v>25</v>
      </c>
      <c r="N174" t="s">
        <v>23</v>
      </c>
      <c r="O174" t="s">
        <v>19</v>
      </c>
    </row>
    <row r="175" spans="1:15">
      <c r="A175" t="s">
        <v>72</v>
      </c>
      <c r="B175">
        <f t="shared" si="8"/>
        <v>7.183908045977011E-2</v>
      </c>
      <c r="C175">
        <f t="shared" si="9"/>
        <v>0.28735632183908044</v>
      </c>
      <c r="D175">
        <v>1.2</v>
      </c>
      <c r="E175" t="s">
        <v>81</v>
      </c>
      <c r="F175" t="s">
        <v>23</v>
      </c>
      <c r="G175" t="s">
        <v>17</v>
      </c>
      <c r="H175" t="s">
        <v>22</v>
      </c>
      <c r="I175" t="s">
        <v>18</v>
      </c>
      <c r="J175" t="s">
        <v>26</v>
      </c>
      <c r="K175" t="s">
        <v>23</v>
      </c>
      <c r="L175" t="s">
        <v>17</v>
      </c>
      <c r="M175" t="s">
        <v>22</v>
      </c>
      <c r="N175" t="s">
        <v>18</v>
      </c>
      <c r="O175" t="s">
        <v>26</v>
      </c>
    </row>
    <row r="176" spans="1:15">
      <c r="A176" t="s">
        <v>72</v>
      </c>
      <c r="B176">
        <f t="shared" si="8"/>
        <v>7.183908045977011E-2</v>
      </c>
      <c r="C176">
        <f t="shared" si="9"/>
        <v>0.28735632183908044</v>
      </c>
      <c r="D176">
        <v>1.1000000000000001</v>
      </c>
      <c r="E176" t="s">
        <v>81</v>
      </c>
      <c r="F176" t="s">
        <v>23</v>
      </c>
      <c r="G176" t="s">
        <v>22</v>
      </c>
      <c r="H176" t="s">
        <v>24</v>
      </c>
      <c r="I176" t="s">
        <v>26</v>
      </c>
      <c r="J176" t="s">
        <v>17</v>
      </c>
      <c r="K176" t="s">
        <v>23</v>
      </c>
      <c r="L176" t="s">
        <v>22</v>
      </c>
      <c r="M176" t="s">
        <v>24</v>
      </c>
      <c r="N176" t="s">
        <v>26</v>
      </c>
      <c r="O176" t="s">
        <v>17</v>
      </c>
    </row>
    <row r="177" spans="1:15">
      <c r="A177" t="s">
        <v>72</v>
      </c>
      <c r="B177">
        <f t="shared" si="8"/>
        <v>7.183908045977011E-2</v>
      </c>
      <c r="C177">
        <f t="shared" si="9"/>
        <v>0.28735632183908044</v>
      </c>
      <c r="D177">
        <v>1</v>
      </c>
      <c r="E177" t="s">
        <v>81</v>
      </c>
      <c r="F177" t="s">
        <v>24</v>
      </c>
      <c r="G177" t="s">
        <v>21</v>
      </c>
      <c r="H177" t="s">
        <v>20</v>
      </c>
      <c r="I177" t="s">
        <v>18</v>
      </c>
      <c r="J177" t="s">
        <v>26</v>
      </c>
      <c r="K177" t="s">
        <v>24</v>
      </c>
      <c r="L177" t="s">
        <v>21</v>
      </c>
      <c r="M177" t="s">
        <v>20</v>
      </c>
      <c r="N177" t="s">
        <v>18</v>
      </c>
      <c r="O177" t="s">
        <v>26</v>
      </c>
    </row>
    <row r="178" spans="1:15">
      <c r="A178" t="s">
        <v>72</v>
      </c>
      <c r="B178">
        <f t="shared" si="8"/>
        <v>7.183908045977011E-2</v>
      </c>
      <c r="C178">
        <f t="shared" si="9"/>
        <v>0.28735632183908044</v>
      </c>
      <c r="D178">
        <v>0.90000000000000102</v>
      </c>
      <c r="E178" t="s">
        <v>81</v>
      </c>
      <c r="F178" t="s">
        <v>18</v>
      </c>
      <c r="G178" t="s">
        <v>17</v>
      </c>
      <c r="H178" t="s">
        <v>19</v>
      </c>
      <c r="I178" t="s">
        <v>20</v>
      </c>
      <c r="J178" t="s">
        <v>23</v>
      </c>
      <c r="K178" t="s">
        <v>18</v>
      </c>
      <c r="L178" t="s">
        <v>17</v>
      </c>
      <c r="M178" t="s">
        <v>19</v>
      </c>
      <c r="N178" t="s">
        <v>20</v>
      </c>
      <c r="O178" t="s">
        <v>23</v>
      </c>
    </row>
    <row r="179" spans="1:15">
      <c r="A179" t="s">
        <v>72</v>
      </c>
      <c r="B179">
        <f t="shared" si="8"/>
        <v>7.183908045977011E-2</v>
      </c>
      <c r="C179">
        <f t="shared" si="9"/>
        <v>0.28735632183908044</v>
      </c>
      <c r="D179">
        <v>0.80000000000000104</v>
      </c>
      <c r="E179" t="s">
        <v>81</v>
      </c>
      <c r="F179" t="s">
        <v>18</v>
      </c>
      <c r="G179" t="s">
        <v>24</v>
      </c>
      <c r="H179" t="s">
        <v>22</v>
      </c>
      <c r="I179" t="s">
        <v>25</v>
      </c>
      <c r="J179" t="s">
        <v>26</v>
      </c>
      <c r="K179" t="s">
        <v>18</v>
      </c>
    </row>
    <row r="180" spans="1:15">
      <c r="A180" t="s">
        <v>72</v>
      </c>
      <c r="B180">
        <f t="shared" si="8"/>
        <v>7.183908045977011E-2</v>
      </c>
      <c r="C180">
        <f t="shared" si="9"/>
        <v>0.28735632183908044</v>
      </c>
      <c r="D180">
        <v>0.70000000000000095</v>
      </c>
      <c r="E180" t="s">
        <v>81</v>
      </c>
      <c r="F180" t="s">
        <v>22</v>
      </c>
      <c r="G180" t="s">
        <v>19</v>
      </c>
      <c r="H180" t="s">
        <v>23</v>
      </c>
      <c r="I180" t="s">
        <v>25</v>
      </c>
      <c r="J180" t="s">
        <v>17</v>
      </c>
    </row>
    <row r="181" spans="1:15">
      <c r="A181" t="s">
        <v>72</v>
      </c>
      <c r="B181">
        <f t="shared" si="8"/>
        <v>7.183908045977011E-2</v>
      </c>
      <c r="C181">
        <f t="shared" si="9"/>
        <v>0.28735632183908044</v>
      </c>
      <c r="D181">
        <v>0.6</v>
      </c>
      <c r="E181" t="s">
        <v>81</v>
      </c>
      <c r="F181" t="s">
        <v>19</v>
      </c>
      <c r="G181" t="s">
        <v>21</v>
      </c>
      <c r="H181" t="s">
        <v>22</v>
      </c>
      <c r="I181" t="s">
        <v>26</v>
      </c>
      <c r="J181" t="s">
        <v>23</v>
      </c>
    </row>
    <row r="182" spans="1:15">
      <c r="A182" t="s">
        <v>72</v>
      </c>
      <c r="B182">
        <f t="shared" si="8"/>
        <v>7.183908045977011E-2</v>
      </c>
      <c r="C182">
        <f t="shared" si="9"/>
        <v>0.28735632183908044</v>
      </c>
      <c r="D182">
        <v>0.5</v>
      </c>
      <c r="E182" t="s">
        <v>81</v>
      </c>
      <c r="F182" t="s">
        <v>26</v>
      </c>
      <c r="G182" t="s">
        <v>17</v>
      </c>
      <c r="H182" t="s">
        <v>24</v>
      </c>
      <c r="I182" t="s">
        <v>25</v>
      </c>
      <c r="J182" t="s">
        <v>23</v>
      </c>
    </row>
    <row r="183" spans="1:15">
      <c r="A183" t="s">
        <v>72</v>
      </c>
      <c r="B183">
        <f t="shared" si="8"/>
        <v>7.183908045977011E-2</v>
      </c>
      <c r="C183">
        <f t="shared" si="9"/>
        <v>0.28735632183908044</v>
      </c>
      <c r="D183">
        <v>0.4</v>
      </c>
      <c r="E183" t="s">
        <v>81</v>
      </c>
      <c r="F183" t="s">
        <v>26</v>
      </c>
      <c r="G183" t="s">
        <v>25</v>
      </c>
      <c r="H183" t="s">
        <v>18</v>
      </c>
      <c r="I183" t="s">
        <v>24</v>
      </c>
      <c r="J183" t="s">
        <v>17</v>
      </c>
    </row>
    <row r="184" spans="1:15">
      <c r="A184" t="s">
        <v>72</v>
      </c>
      <c r="B184">
        <f t="shared" si="8"/>
        <v>7.183908045977011E-2</v>
      </c>
      <c r="C184">
        <f t="shared" si="9"/>
        <v>0.28735632183908044</v>
      </c>
      <c r="D184">
        <v>0.3</v>
      </c>
      <c r="E184" t="s">
        <v>81</v>
      </c>
      <c r="F184" t="s">
        <v>23</v>
      </c>
      <c r="G184" t="s">
        <v>25</v>
      </c>
      <c r="H184" t="s">
        <v>20</v>
      </c>
      <c r="I184" t="s">
        <v>24</v>
      </c>
      <c r="J184" t="s">
        <v>19</v>
      </c>
    </row>
    <row r="185" spans="1:15">
      <c r="A185" t="s">
        <v>72</v>
      </c>
      <c r="B185">
        <f t="shared" si="8"/>
        <v>7.183908045977011E-2</v>
      </c>
      <c r="C185">
        <f t="shared" si="9"/>
        <v>0.28735632183908044</v>
      </c>
      <c r="D185">
        <v>0.2</v>
      </c>
      <c r="E185" t="s">
        <v>81</v>
      </c>
      <c r="F185" t="s">
        <v>26</v>
      </c>
      <c r="G185" t="s">
        <v>19</v>
      </c>
      <c r="H185" t="s">
        <v>17</v>
      </c>
      <c r="I185" t="s">
        <v>20</v>
      </c>
      <c r="J185" t="s">
        <v>22</v>
      </c>
    </row>
    <row r="186" spans="1:15">
      <c r="A186" t="s">
        <v>72</v>
      </c>
      <c r="B186">
        <f t="shared" si="8"/>
        <v>7.183908045977011E-2</v>
      </c>
      <c r="C186">
        <f t="shared" si="9"/>
        <v>0.28735632183908044</v>
      </c>
      <c r="D186">
        <v>9.9999999999999895E-2</v>
      </c>
      <c r="E186" t="s">
        <v>81</v>
      </c>
      <c r="F186" t="s">
        <v>20</v>
      </c>
      <c r="G186" t="s">
        <v>26</v>
      </c>
      <c r="H186" t="s">
        <v>18</v>
      </c>
      <c r="I186" t="s">
        <v>17</v>
      </c>
      <c r="J186" t="s">
        <v>22</v>
      </c>
    </row>
    <row r="187" spans="1:15">
      <c r="A187" t="s">
        <v>72</v>
      </c>
      <c r="B187">
        <f t="shared" si="8"/>
        <v>7.183908045977011E-2</v>
      </c>
      <c r="C187">
        <f t="shared" si="9"/>
        <v>0.28735632183908044</v>
      </c>
      <c r="D187">
        <v>0</v>
      </c>
      <c r="E187" t="s">
        <v>81</v>
      </c>
      <c r="F187" t="s">
        <v>25</v>
      </c>
      <c r="G187" t="s">
        <v>26</v>
      </c>
      <c r="H187" t="s">
        <v>20</v>
      </c>
      <c r="I187" t="s">
        <v>22</v>
      </c>
      <c r="J187" t="s">
        <v>24</v>
      </c>
    </row>
    <row r="188" spans="1:15">
      <c r="A188" t="s">
        <v>72</v>
      </c>
      <c r="B188">
        <f t="shared" si="8"/>
        <v>7.183908045977011E-2</v>
      </c>
      <c r="C188">
        <f t="shared" si="9"/>
        <v>0.28735632183908044</v>
      </c>
      <c r="D188">
        <v>-0.1</v>
      </c>
      <c r="E188" t="s">
        <v>81</v>
      </c>
      <c r="F188" t="s">
        <v>22</v>
      </c>
      <c r="G188" t="s">
        <v>25</v>
      </c>
      <c r="H188" t="s">
        <v>19</v>
      </c>
      <c r="I188" t="s">
        <v>17</v>
      </c>
      <c r="J188" t="s">
        <v>18</v>
      </c>
    </row>
    <row r="189" spans="1:15">
      <c r="A189" t="s">
        <v>72</v>
      </c>
      <c r="B189">
        <f t="shared" si="8"/>
        <v>7.183908045977011E-2</v>
      </c>
      <c r="C189">
        <f t="shared" si="9"/>
        <v>0.28735632183908044</v>
      </c>
      <c r="D189">
        <v>-0.2</v>
      </c>
      <c r="E189" t="s">
        <v>81</v>
      </c>
      <c r="F189" t="s">
        <v>25</v>
      </c>
      <c r="G189" t="s">
        <v>21</v>
      </c>
      <c r="H189" t="s">
        <v>20</v>
      </c>
      <c r="I189" t="s">
        <v>19</v>
      </c>
      <c r="J189" t="s">
        <v>24</v>
      </c>
    </row>
    <row r="190" spans="1:15">
      <c r="A190" t="s">
        <v>72</v>
      </c>
      <c r="B190">
        <f t="shared" si="8"/>
        <v>7.183908045977011E-2</v>
      </c>
      <c r="C190">
        <f t="shared" si="9"/>
        <v>0.28735632183908044</v>
      </c>
      <c r="D190">
        <v>-0.3</v>
      </c>
      <c r="E190" t="s">
        <v>81</v>
      </c>
      <c r="F190" t="s">
        <v>21</v>
      </c>
      <c r="G190" t="s">
        <v>18</v>
      </c>
      <c r="H190" t="s">
        <v>20</v>
      </c>
      <c r="I190" t="s">
        <v>19</v>
      </c>
      <c r="J190" t="s">
        <v>22</v>
      </c>
    </row>
    <row r="191" spans="1:15">
      <c r="A191" t="s">
        <v>73</v>
      </c>
      <c r="B191">
        <f>1/25.62</f>
        <v>3.9032006245121001E-2</v>
      </c>
      <c r="C191">
        <f>4/25.62</f>
        <v>0.156128024980484</v>
      </c>
      <c r="D191">
        <v>1.7</v>
      </c>
      <c r="E191" t="s">
        <v>81</v>
      </c>
      <c r="F191" t="s">
        <v>18</v>
      </c>
      <c r="G191" t="s">
        <v>19</v>
      </c>
      <c r="H191" t="s">
        <v>21</v>
      </c>
      <c r="I191" t="s">
        <v>23</v>
      </c>
      <c r="J191" t="s">
        <v>17</v>
      </c>
      <c r="K191" t="s">
        <v>18</v>
      </c>
      <c r="L191" t="s">
        <v>19</v>
      </c>
      <c r="M191" t="s">
        <v>21</v>
      </c>
      <c r="N191" t="s">
        <v>23</v>
      </c>
      <c r="O191" t="s">
        <v>17</v>
      </c>
    </row>
    <row r="192" spans="1:15">
      <c r="A192" t="s">
        <v>73</v>
      </c>
      <c r="B192">
        <f t="shared" ref="B192:B211" si="10">1/25.62</f>
        <v>3.9032006245121001E-2</v>
      </c>
      <c r="C192">
        <f t="shared" ref="C192:C211" si="11">4/25.62</f>
        <v>0.156128024980484</v>
      </c>
      <c r="D192">
        <v>1.6</v>
      </c>
      <c r="E192" t="s">
        <v>81</v>
      </c>
      <c r="F192" t="s">
        <v>17</v>
      </c>
      <c r="G192" t="s">
        <v>20</v>
      </c>
      <c r="H192" t="s">
        <v>18</v>
      </c>
      <c r="I192" t="s">
        <v>22</v>
      </c>
      <c r="J192" t="s">
        <v>21</v>
      </c>
      <c r="K192" t="s">
        <v>17</v>
      </c>
      <c r="L192" t="s">
        <v>20</v>
      </c>
      <c r="M192" t="s">
        <v>18</v>
      </c>
      <c r="N192" t="s">
        <v>22</v>
      </c>
      <c r="O192" t="s">
        <v>21</v>
      </c>
    </row>
    <row r="193" spans="1:15">
      <c r="A193" t="s">
        <v>73</v>
      </c>
      <c r="B193">
        <f t="shared" si="10"/>
        <v>3.9032006245121001E-2</v>
      </c>
      <c r="C193">
        <f t="shared" si="11"/>
        <v>0.156128024980484</v>
      </c>
      <c r="D193">
        <v>1.5</v>
      </c>
      <c r="E193" t="s">
        <v>81</v>
      </c>
      <c r="F193" t="s">
        <v>24</v>
      </c>
      <c r="G193" t="s">
        <v>26</v>
      </c>
      <c r="H193" t="s">
        <v>23</v>
      </c>
      <c r="I193" t="s">
        <v>18</v>
      </c>
      <c r="J193" t="s">
        <v>17</v>
      </c>
      <c r="K193" t="s">
        <v>24</v>
      </c>
      <c r="L193" t="s">
        <v>26</v>
      </c>
      <c r="M193" t="s">
        <v>23</v>
      </c>
      <c r="N193" t="s">
        <v>18</v>
      </c>
      <c r="O193" t="s">
        <v>17</v>
      </c>
    </row>
    <row r="194" spans="1:15">
      <c r="A194" t="s">
        <v>73</v>
      </c>
      <c r="B194">
        <f t="shared" si="10"/>
        <v>3.9032006245121001E-2</v>
      </c>
      <c r="C194">
        <f t="shared" si="11"/>
        <v>0.156128024980484</v>
      </c>
      <c r="D194">
        <v>1.4</v>
      </c>
      <c r="E194" t="s">
        <v>81</v>
      </c>
      <c r="F194" t="s">
        <v>17</v>
      </c>
      <c r="G194" t="s">
        <v>24</v>
      </c>
      <c r="H194" t="s">
        <v>23</v>
      </c>
      <c r="I194" t="s">
        <v>18</v>
      </c>
      <c r="J194" t="s">
        <v>21</v>
      </c>
      <c r="K194" t="s">
        <v>17</v>
      </c>
      <c r="L194" t="s">
        <v>24</v>
      </c>
      <c r="M194" t="s">
        <v>23</v>
      </c>
      <c r="N194" t="s">
        <v>18</v>
      </c>
      <c r="O194" t="s">
        <v>21</v>
      </c>
    </row>
    <row r="195" spans="1:15">
      <c r="A195" t="s">
        <v>73</v>
      </c>
      <c r="B195">
        <f t="shared" si="10"/>
        <v>3.9032006245121001E-2</v>
      </c>
      <c r="C195">
        <f t="shared" si="11"/>
        <v>0.156128024980484</v>
      </c>
      <c r="D195">
        <v>1.3</v>
      </c>
      <c r="E195" t="s">
        <v>81</v>
      </c>
      <c r="F195" t="s">
        <v>17</v>
      </c>
      <c r="G195" t="s">
        <v>23</v>
      </c>
      <c r="H195" t="s">
        <v>19</v>
      </c>
      <c r="I195" t="s">
        <v>22</v>
      </c>
      <c r="J195" t="s">
        <v>21</v>
      </c>
      <c r="K195" t="s">
        <v>17</v>
      </c>
      <c r="M195" t="s">
        <v>19</v>
      </c>
      <c r="N195" t="s">
        <v>22</v>
      </c>
      <c r="O195" t="s">
        <v>21</v>
      </c>
    </row>
    <row r="196" spans="1:15">
      <c r="A196" t="s">
        <v>73</v>
      </c>
      <c r="B196">
        <f t="shared" si="10"/>
        <v>3.9032006245121001E-2</v>
      </c>
      <c r="C196">
        <f t="shared" si="11"/>
        <v>0.156128024980484</v>
      </c>
      <c r="D196">
        <v>1.2</v>
      </c>
      <c r="E196" t="s">
        <v>81</v>
      </c>
      <c r="F196" t="s">
        <v>18</v>
      </c>
      <c r="G196" t="s">
        <v>25</v>
      </c>
      <c r="H196" t="s">
        <v>17</v>
      </c>
      <c r="I196" t="s">
        <v>24</v>
      </c>
      <c r="J196" t="s">
        <v>19</v>
      </c>
      <c r="K196" t="s">
        <v>18</v>
      </c>
      <c r="L196" t="s">
        <v>25</v>
      </c>
      <c r="N196" t="s">
        <v>24</v>
      </c>
      <c r="O196" t="s">
        <v>19</v>
      </c>
    </row>
    <row r="197" spans="1:15">
      <c r="A197" t="s">
        <v>73</v>
      </c>
      <c r="B197">
        <f t="shared" si="10"/>
        <v>3.9032006245121001E-2</v>
      </c>
      <c r="C197">
        <f t="shared" si="11"/>
        <v>0.156128024980484</v>
      </c>
      <c r="D197">
        <v>1.1000000000000001</v>
      </c>
      <c r="E197" t="s">
        <v>81</v>
      </c>
      <c r="F197" t="s">
        <v>20</v>
      </c>
      <c r="G197" t="s">
        <v>22</v>
      </c>
      <c r="H197" t="s">
        <v>23</v>
      </c>
      <c r="I197" t="s">
        <v>18</v>
      </c>
      <c r="J197" t="s">
        <v>17</v>
      </c>
    </row>
    <row r="198" spans="1:15">
      <c r="A198" t="s">
        <v>73</v>
      </c>
      <c r="B198">
        <f t="shared" si="10"/>
        <v>3.9032006245121001E-2</v>
      </c>
      <c r="C198">
        <f t="shared" si="11"/>
        <v>0.156128024980484</v>
      </c>
      <c r="D198">
        <v>1</v>
      </c>
      <c r="E198" t="s">
        <v>81</v>
      </c>
      <c r="F198" t="s">
        <v>24</v>
      </c>
      <c r="G198" t="s">
        <v>22</v>
      </c>
      <c r="H198" t="s">
        <v>19</v>
      </c>
      <c r="I198" t="s">
        <v>21</v>
      </c>
      <c r="J198" t="s">
        <v>26</v>
      </c>
    </row>
    <row r="199" spans="1:15">
      <c r="A199" t="s">
        <v>73</v>
      </c>
      <c r="B199">
        <f t="shared" si="10"/>
        <v>3.9032006245121001E-2</v>
      </c>
      <c r="C199">
        <f t="shared" si="11"/>
        <v>0.156128024980484</v>
      </c>
      <c r="D199">
        <v>0.90000000000000102</v>
      </c>
      <c r="E199" t="s">
        <v>81</v>
      </c>
      <c r="F199" t="s">
        <v>23</v>
      </c>
      <c r="G199" t="s">
        <v>20</v>
      </c>
      <c r="H199" t="s">
        <v>18</v>
      </c>
      <c r="I199" t="s">
        <v>17</v>
      </c>
      <c r="J199" t="s">
        <v>25</v>
      </c>
    </row>
    <row r="200" spans="1:15">
      <c r="A200" t="s">
        <v>73</v>
      </c>
      <c r="B200">
        <f t="shared" si="10"/>
        <v>3.9032006245121001E-2</v>
      </c>
      <c r="C200">
        <f t="shared" si="11"/>
        <v>0.156128024980484</v>
      </c>
      <c r="D200">
        <v>0.80000000000000104</v>
      </c>
      <c r="E200" t="s">
        <v>81</v>
      </c>
      <c r="F200" t="s">
        <v>23</v>
      </c>
      <c r="G200" t="s">
        <v>26</v>
      </c>
      <c r="H200" t="s">
        <v>19</v>
      </c>
      <c r="I200" t="s">
        <v>18</v>
      </c>
      <c r="J200" t="s">
        <v>25</v>
      </c>
    </row>
    <row r="201" spans="1:15">
      <c r="A201" t="s">
        <v>73</v>
      </c>
      <c r="B201">
        <f t="shared" si="10"/>
        <v>3.9032006245121001E-2</v>
      </c>
      <c r="C201">
        <f t="shared" si="11"/>
        <v>0.156128024980484</v>
      </c>
      <c r="D201">
        <v>0.70000000000000095</v>
      </c>
      <c r="E201" t="s">
        <v>81</v>
      </c>
      <c r="F201" t="s">
        <v>25</v>
      </c>
      <c r="G201" t="s">
        <v>24</v>
      </c>
      <c r="H201" t="s">
        <v>20</v>
      </c>
      <c r="I201" t="s">
        <v>18</v>
      </c>
      <c r="J201" t="s">
        <v>19</v>
      </c>
    </row>
    <row r="202" spans="1:15">
      <c r="A202" t="s">
        <v>73</v>
      </c>
      <c r="B202">
        <f t="shared" si="10"/>
        <v>3.9032006245121001E-2</v>
      </c>
      <c r="C202">
        <f t="shared" si="11"/>
        <v>0.156128024980484</v>
      </c>
      <c r="D202">
        <v>0.6</v>
      </c>
      <c r="E202" t="s">
        <v>81</v>
      </c>
      <c r="F202" t="s">
        <v>26</v>
      </c>
      <c r="G202" t="s">
        <v>17</v>
      </c>
      <c r="H202" t="s">
        <v>22</v>
      </c>
      <c r="I202" t="s">
        <v>24</v>
      </c>
      <c r="J202" t="s">
        <v>19</v>
      </c>
    </row>
    <row r="203" spans="1:15">
      <c r="A203" t="s">
        <v>73</v>
      </c>
      <c r="B203">
        <f t="shared" si="10"/>
        <v>3.9032006245121001E-2</v>
      </c>
      <c r="C203">
        <f t="shared" si="11"/>
        <v>0.156128024980484</v>
      </c>
      <c r="D203">
        <v>0.5</v>
      </c>
      <c r="E203" t="s">
        <v>81</v>
      </c>
      <c r="F203" t="s">
        <v>26</v>
      </c>
      <c r="G203" t="s">
        <v>17</v>
      </c>
      <c r="H203" t="s">
        <v>21</v>
      </c>
      <c r="I203" t="s">
        <v>24</v>
      </c>
      <c r="J203" t="s">
        <v>23</v>
      </c>
    </row>
    <row r="204" spans="1:15">
      <c r="A204" t="s">
        <v>73</v>
      </c>
      <c r="B204">
        <f t="shared" si="10"/>
        <v>3.9032006245121001E-2</v>
      </c>
      <c r="C204">
        <f t="shared" si="11"/>
        <v>0.156128024980484</v>
      </c>
      <c r="D204">
        <v>0.4</v>
      </c>
      <c r="E204" t="s">
        <v>81</v>
      </c>
      <c r="F204" t="s">
        <v>19</v>
      </c>
      <c r="G204" t="s">
        <v>18</v>
      </c>
      <c r="H204" t="s">
        <v>22</v>
      </c>
      <c r="I204" t="s">
        <v>26</v>
      </c>
      <c r="J204" t="s">
        <v>20</v>
      </c>
    </row>
    <row r="205" spans="1:15">
      <c r="A205" t="s">
        <v>73</v>
      </c>
      <c r="B205">
        <f t="shared" si="10"/>
        <v>3.9032006245121001E-2</v>
      </c>
      <c r="C205">
        <f t="shared" si="11"/>
        <v>0.156128024980484</v>
      </c>
      <c r="D205">
        <v>0.3</v>
      </c>
      <c r="E205" t="s">
        <v>81</v>
      </c>
      <c r="F205" t="s">
        <v>19</v>
      </c>
      <c r="G205" t="s">
        <v>24</v>
      </c>
      <c r="H205" t="s">
        <v>21</v>
      </c>
      <c r="I205" t="s">
        <v>23</v>
      </c>
      <c r="J205" t="s">
        <v>22</v>
      </c>
    </row>
    <row r="206" spans="1:15">
      <c r="A206" t="s">
        <v>73</v>
      </c>
      <c r="B206">
        <f t="shared" si="10"/>
        <v>3.9032006245121001E-2</v>
      </c>
      <c r="C206">
        <f t="shared" si="11"/>
        <v>0.156128024980484</v>
      </c>
      <c r="D206">
        <v>0.2</v>
      </c>
      <c r="E206" t="s">
        <v>81</v>
      </c>
      <c r="F206" t="s">
        <v>19</v>
      </c>
      <c r="G206" t="s">
        <v>25</v>
      </c>
      <c r="H206" t="s">
        <v>26</v>
      </c>
      <c r="I206" t="s">
        <v>22</v>
      </c>
      <c r="J206" t="s">
        <v>20</v>
      </c>
    </row>
    <row r="207" spans="1:15">
      <c r="A207" t="s">
        <v>73</v>
      </c>
      <c r="B207">
        <f t="shared" si="10"/>
        <v>3.9032006245121001E-2</v>
      </c>
      <c r="C207">
        <f t="shared" si="11"/>
        <v>0.156128024980484</v>
      </c>
      <c r="D207">
        <v>9.9999999999999895E-2</v>
      </c>
      <c r="E207" t="s">
        <v>81</v>
      </c>
      <c r="F207" t="s">
        <v>19</v>
      </c>
      <c r="G207" t="s">
        <v>25</v>
      </c>
      <c r="H207" t="s">
        <v>24</v>
      </c>
      <c r="I207" t="s">
        <v>21</v>
      </c>
      <c r="J207" t="s">
        <v>20</v>
      </c>
    </row>
    <row r="208" spans="1:15">
      <c r="A208" t="s">
        <v>73</v>
      </c>
      <c r="B208">
        <f t="shared" si="10"/>
        <v>3.9032006245121001E-2</v>
      </c>
      <c r="C208">
        <f t="shared" si="11"/>
        <v>0.156128024980484</v>
      </c>
      <c r="D208">
        <v>0</v>
      </c>
      <c r="E208" t="s">
        <v>81</v>
      </c>
      <c r="F208" t="s">
        <v>20</v>
      </c>
      <c r="G208" t="s">
        <v>25</v>
      </c>
      <c r="H208" t="s">
        <v>23</v>
      </c>
      <c r="I208" t="s">
        <v>21</v>
      </c>
      <c r="J208" t="s">
        <v>18</v>
      </c>
    </row>
    <row r="209" spans="1:15">
      <c r="A209" t="s">
        <v>73</v>
      </c>
      <c r="B209">
        <f t="shared" si="10"/>
        <v>3.9032006245121001E-2</v>
      </c>
      <c r="C209">
        <f t="shared" si="11"/>
        <v>0.156128024980484</v>
      </c>
      <c r="D209">
        <v>-0.1</v>
      </c>
      <c r="E209" t="s">
        <v>81</v>
      </c>
      <c r="F209" t="s">
        <v>21</v>
      </c>
      <c r="G209" t="s">
        <v>22</v>
      </c>
      <c r="H209" t="s">
        <v>18</v>
      </c>
      <c r="I209" t="s">
        <v>19</v>
      </c>
      <c r="J209" t="s">
        <v>17</v>
      </c>
    </row>
    <row r="210" spans="1:15">
      <c r="A210" t="s">
        <v>73</v>
      </c>
      <c r="B210">
        <f t="shared" si="10"/>
        <v>3.9032006245121001E-2</v>
      </c>
      <c r="C210">
        <f t="shared" si="11"/>
        <v>0.156128024980484</v>
      </c>
      <c r="D210">
        <v>-0.2</v>
      </c>
      <c r="E210" t="s">
        <v>81</v>
      </c>
      <c r="F210" t="s">
        <v>21</v>
      </c>
      <c r="G210" t="s">
        <v>17</v>
      </c>
      <c r="H210" t="s">
        <v>25</v>
      </c>
      <c r="I210" t="s">
        <v>23</v>
      </c>
      <c r="J210" t="s">
        <v>26</v>
      </c>
    </row>
    <row r="211" spans="1:15">
      <c r="A211" t="s">
        <v>73</v>
      </c>
      <c r="B211">
        <f t="shared" si="10"/>
        <v>3.9032006245121001E-2</v>
      </c>
      <c r="C211">
        <f t="shared" si="11"/>
        <v>0.156128024980484</v>
      </c>
      <c r="D211">
        <v>-0.3</v>
      </c>
      <c r="E211" t="s">
        <v>81</v>
      </c>
      <c r="F211" t="s">
        <v>17</v>
      </c>
      <c r="G211" t="s">
        <v>18</v>
      </c>
      <c r="H211" t="s">
        <v>25</v>
      </c>
      <c r="I211" t="s">
        <v>20</v>
      </c>
      <c r="J211" t="s">
        <v>23</v>
      </c>
    </row>
    <row r="212" spans="1:15">
      <c r="A212" t="s">
        <v>74</v>
      </c>
      <c r="B212">
        <f>1/46.62</f>
        <v>2.145002145002145E-2</v>
      </c>
      <c r="C212">
        <f>4/20.9</f>
        <v>0.19138755980861244</v>
      </c>
      <c r="D212">
        <v>1.7</v>
      </c>
      <c r="E212" t="s">
        <v>81</v>
      </c>
      <c r="F212" t="s">
        <v>20</v>
      </c>
      <c r="G212" t="s">
        <v>19</v>
      </c>
      <c r="H212" t="s">
        <v>18</v>
      </c>
      <c r="I212" t="s">
        <v>23</v>
      </c>
      <c r="J212" t="s">
        <v>22</v>
      </c>
      <c r="K212" t="s">
        <v>20</v>
      </c>
      <c r="L212" t="s">
        <v>19</v>
      </c>
      <c r="M212" t="s">
        <v>18</v>
      </c>
      <c r="N212" t="s">
        <v>23</v>
      </c>
      <c r="O212" t="s">
        <v>22</v>
      </c>
    </row>
    <row r="213" spans="1:15">
      <c r="A213" t="s">
        <v>74</v>
      </c>
      <c r="B213">
        <f t="shared" ref="B213:B232" si="12">1/46.62</f>
        <v>2.145002145002145E-2</v>
      </c>
      <c r="C213">
        <f t="shared" ref="C213:C232" si="13">4/20.9</f>
        <v>0.19138755980861244</v>
      </c>
      <c r="D213">
        <v>1.6</v>
      </c>
      <c r="E213" t="s">
        <v>81</v>
      </c>
      <c r="F213" t="s">
        <v>23</v>
      </c>
      <c r="G213" t="s">
        <v>19</v>
      </c>
      <c r="H213" t="s">
        <v>20</v>
      </c>
      <c r="I213" t="s">
        <v>26</v>
      </c>
      <c r="J213" t="s">
        <v>25</v>
      </c>
    </row>
    <row r="214" spans="1:15">
      <c r="A214" t="s">
        <v>74</v>
      </c>
      <c r="B214">
        <f t="shared" si="12"/>
        <v>2.145002145002145E-2</v>
      </c>
      <c r="C214">
        <f t="shared" si="13"/>
        <v>0.19138755980861244</v>
      </c>
      <c r="D214">
        <v>1.5</v>
      </c>
      <c r="E214" t="s">
        <v>81</v>
      </c>
      <c r="F214" t="s">
        <v>26</v>
      </c>
      <c r="G214" t="s">
        <v>22</v>
      </c>
      <c r="H214" t="s">
        <v>20</v>
      </c>
      <c r="I214" t="s">
        <v>17</v>
      </c>
      <c r="J214" t="s">
        <v>21</v>
      </c>
    </row>
    <row r="215" spans="1:15">
      <c r="A215" t="s">
        <v>74</v>
      </c>
      <c r="B215">
        <f t="shared" si="12"/>
        <v>2.145002145002145E-2</v>
      </c>
      <c r="C215">
        <f t="shared" si="13"/>
        <v>0.19138755980861244</v>
      </c>
      <c r="D215">
        <v>1.4</v>
      </c>
      <c r="E215" t="s">
        <v>81</v>
      </c>
      <c r="F215" t="s">
        <v>21</v>
      </c>
      <c r="G215" t="s">
        <v>24</v>
      </c>
      <c r="H215" t="s">
        <v>26</v>
      </c>
      <c r="I215" t="s">
        <v>25</v>
      </c>
      <c r="J215" t="s">
        <v>19</v>
      </c>
    </row>
    <row r="216" spans="1:15">
      <c r="A216" t="s">
        <v>74</v>
      </c>
      <c r="B216">
        <f t="shared" si="12"/>
        <v>2.145002145002145E-2</v>
      </c>
      <c r="C216">
        <f t="shared" si="13"/>
        <v>0.19138755980861244</v>
      </c>
      <c r="D216">
        <v>1.3</v>
      </c>
      <c r="E216" t="s">
        <v>81</v>
      </c>
      <c r="F216" t="s">
        <v>23</v>
      </c>
      <c r="G216" t="s">
        <v>26</v>
      </c>
      <c r="H216" t="s">
        <v>19</v>
      </c>
      <c r="I216" t="s">
        <v>20</v>
      </c>
      <c r="J216" t="s">
        <v>21</v>
      </c>
    </row>
    <row r="217" spans="1:15">
      <c r="A217" t="s">
        <v>74</v>
      </c>
      <c r="B217">
        <f t="shared" si="12"/>
        <v>2.145002145002145E-2</v>
      </c>
      <c r="C217">
        <f t="shared" si="13"/>
        <v>0.19138755980861244</v>
      </c>
      <c r="D217">
        <v>1.2</v>
      </c>
      <c r="E217" t="s">
        <v>81</v>
      </c>
      <c r="F217" t="s">
        <v>20</v>
      </c>
      <c r="G217" t="s">
        <v>21</v>
      </c>
      <c r="H217" t="s">
        <v>17</v>
      </c>
      <c r="I217" t="s">
        <v>24</v>
      </c>
      <c r="J217" t="s">
        <v>19</v>
      </c>
    </row>
    <row r="218" spans="1:15">
      <c r="A218" t="s">
        <v>74</v>
      </c>
      <c r="B218">
        <f t="shared" si="12"/>
        <v>2.145002145002145E-2</v>
      </c>
      <c r="C218">
        <f t="shared" si="13"/>
        <v>0.19138755980861244</v>
      </c>
      <c r="D218">
        <v>1.1000000000000001</v>
      </c>
      <c r="E218" t="s">
        <v>81</v>
      </c>
      <c r="F218" t="s">
        <v>19</v>
      </c>
      <c r="G218" t="s">
        <v>24</v>
      </c>
      <c r="H218" t="s">
        <v>25</v>
      </c>
      <c r="I218" t="s">
        <v>23</v>
      </c>
      <c r="J218" t="s">
        <v>17</v>
      </c>
    </row>
    <row r="219" spans="1:15">
      <c r="A219" t="s">
        <v>74</v>
      </c>
      <c r="B219">
        <f t="shared" si="12"/>
        <v>2.145002145002145E-2</v>
      </c>
      <c r="C219">
        <f t="shared" si="13"/>
        <v>0.19138755980861244</v>
      </c>
      <c r="D219">
        <v>1</v>
      </c>
      <c r="E219" t="s">
        <v>81</v>
      </c>
      <c r="F219" t="s">
        <v>25</v>
      </c>
      <c r="G219" t="s">
        <v>22</v>
      </c>
      <c r="H219" t="s">
        <v>19</v>
      </c>
      <c r="I219" t="s">
        <v>20</v>
      </c>
      <c r="J219" t="s">
        <v>24</v>
      </c>
    </row>
    <row r="220" spans="1:15">
      <c r="A220" t="s">
        <v>74</v>
      </c>
      <c r="B220">
        <f t="shared" si="12"/>
        <v>2.145002145002145E-2</v>
      </c>
      <c r="C220">
        <f t="shared" si="13"/>
        <v>0.19138755980861244</v>
      </c>
      <c r="D220">
        <v>0.90000000000000102</v>
      </c>
      <c r="E220" t="s">
        <v>81</v>
      </c>
      <c r="F220" t="s">
        <v>24</v>
      </c>
      <c r="G220" t="s">
        <v>23</v>
      </c>
      <c r="H220" t="s">
        <v>21</v>
      </c>
      <c r="I220" t="s">
        <v>18</v>
      </c>
      <c r="J220" t="s">
        <v>20</v>
      </c>
    </row>
    <row r="221" spans="1:15">
      <c r="A221" t="s">
        <v>74</v>
      </c>
      <c r="B221">
        <f t="shared" si="12"/>
        <v>2.145002145002145E-2</v>
      </c>
      <c r="C221">
        <f t="shared" si="13"/>
        <v>0.19138755980861244</v>
      </c>
      <c r="D221">
        <v>0.80000000000000104</v>
      </c>
      <c r="E221" t="s">
        <v>81</v>
      </c>
      <c r="F221" t="s">
        <v>18</v>
      </c>
      <c r="G221" t="s">
        <v>19</v>
      </c>
      <c r="H221" t="s">
        <v>22</v>
      </c>
      <c r="I221" t="s">
        <v>21</v>
      </c>
      <c r="J221" t="s">
        <v>20</v>
      </c>
    </row>
    <row r="222" spans="1:15">
      <c r="A222" t="s">
        <v>74</v>
      </c>
      <c r="B222">
        <f t="shared" si="12"/>
        <v>2.145002145002145E-2</v>
      </c>
      <c r="C222">
        <f t="shared" si="13"/>
        <v>0.19138755980861244</v>
      </c>
      <c r="D222">
        <v>0.70000000000000095</v>
      </c>
      <c r="E222" t="s">
        <v>81</v>
      </c>
      <c r="F222" t="s">
        <v>21</v>
      </c>
      <c r="G222" t="s">
        <v>23</v>
      </c>
      <c r="H222" t="s">
        <v>25</v>
      </c>
      <c r="I222" t="s">
        <v>18</v>
      </c>
      <c r="J222" t="s">
        <v>24</v>
      </c>
    </row>
    <row r="223" spans="1:15">
      <c r="A223" t="s">
        <v>74</v>
      </c>
      <c r="B223">
        <f t="shared" si="12"/>
        <v>2.145002145002145E-2</v>
      </c>
      <c r="C223">
        <f t="shared" si="13"/>
        <v>0.19138755980861244</v>
      </c>
      <c r="D223">
        <v>0.6</v>
      </c>
      <c r="E223" t="s">
        <v>81</v>
      </c>
      <c r="F223" t="s">
        <v>19</v>
      </c>
      <c r="G223" t="s">
        <v>26</v>
      </c>
      <c r="H223" t="s">
        <v>24</v>
      </c>
      <c r="I223" t="s">
        <v>18</v>
      </c>
      <c r="J223" t="s">
        <v>25</v>
      </c>
    </row>
    <row r="224" spans="1:15">
      <c r="A224" t="s">
        <v>74</v>
      </c>
      <c r="B224">
        <f t="shared" si="12"/>
        <v>2.145002145002145E-2</v>
      </c>
      <c r="C224">
        <f t="shared" si="13"/>
        <v>0.19138755980861244</v>
      </c>
      <c r="D224">
        <v>0.5</v>
      </c>
      <c r="E224" t="s">
        <v>81</v>
      </c>
      <c r="F224" t="s">
        <v>26</v>
      </c>
      <c r="G224" t="s">
        <v>24</v>
      </c>
      <c r="H224" t="s">
        <v>18</v>
      </c>
      <c r="I224" t="s">
        <v>17</v>
      </c>
      <c r="J224" t="s">
        <v>23</v>
      </c>
    </row>
    <row r="225" spans="1:15">
      <c r="A225" t="s">
        <v>74</v>
      </c>
      <c r="B225">
        <f t="shared" si="12"/>
        <v>2.145002145002145E-2</v>
      </c>
      <c r="C225">
        <f t="shared" si="13"/>
        <v>0.19138755980861244</v>
      </c>
      <c r="D225">
        <v>0.4</v>
      </c>
      <c r="E225" t="s">
        <v>81</v>
      </c>
      <c r="F225" t="s">
        <v>19</v>
      </c>
      <c r="G225" t="s">
        <v>25</v>
      </c>
      <c r="H225" t="s">
        <v>17</v>
      </c>
      <c r="I225" t="s">
        <v>26</v>
      </c>
      <c r="J225" t="s">
        <v>20</v>
      </c>
    </row>
    <row r="226" spans="1:15">
      <c r="A226" t="s">
        <v>74</v>
      </c>
      <c r="B226">
        <f t="shared" si="12"/>
        <v>2.145002145002145E-2</v>
      </c>
      <c r="C226">
        <f t="shared" si="13"/>
        <v>0.19138755980861244</v>
      </c>
      <c r="D226">
        <v>0.3</v>
      </c>
      <c r="E226" t="s">
        <v>81</v>
      </c>
      <c r="F226" t="s">
        <v>22</v>
      </c>
      <c r="G226" t="s">
        <v>25</v>
      </c>
      <c r="H226" t="s">
        <v>17</v>
      </c>
      <c r="I226" t="s">
        <v>21</v>
      </c>
      <c r="J226" t="s">
        <v>20</v>
      </c>
    </row>
    <row r="227" spans="1:15">
      <c r="A227" t="s">
        <v>74</v>
      </c>
      <c r="B227">
        <f t="shared" si="12"/>
        <v>2.145002145002145E-2</v>
      </c>
      <c r="C227">
        <f t="shared" si="13"/>
        <v>0.19138755980861244</v>
      </c>
      <c r="D227">
        <v>0.2</v>
      </c>
      <c r="E227" t="s">
        <v>81</v>
      </c>
      <c r="F227" t="s">
        <v>22</v>
      </c>
      <c r="G227" t="s">
        <v>19</v>
      </c>
      <c r="H227" t="s">
        <v>18</v>
      </c>
      <c r="I227" t="s">
        <v>23</v>
      </c>
      <c r="J227" t="s">
        <v>21</v>
      </c>
    </row>
    <row r="228" spans="1:15">
      <c r="A228" t="s">
        <v>74</v>
      </c>
      <c r="B228">
        <f t="shared" si="12"/>
        <v>2.145002145002145E-2</v>
      </c>
      <c r="C228">
        <f t="shared" si="13"/>
        <v>0.19138755980861244</v>
      </c>
      <c r="D228">
        <v>9.9999999999999895E-2</v>
      </c>
      <c r="E228" t="s">
        <v>81</v>
      </c>
      <c r="F228" t="s">
        <v>23</v>
      </c>
      <c r="G228" t="s">
        <v>25</v>
      </c>
      <c r="H228" t="s">
        <v>26</v>
      </c>
      <c r="I228" t="s">
        <v>21</v>
      </c>
      <c r="J228" t="s">
        <v>22</v>
      </c>
    </row>
    <row r="229" spans="1:15">
      <c r="A229" t="s">
        <v>74</v>
      </c>
      <c r="B229">
        <f t="shared" si="12"/>
        <v>2.145002145002145E-2</v>
      </c>
      <c r="C229">
        <f t="shared" si="13"/>
        <v>0.19138755980861244</v>
      </c>
      <c r="D229">
        <v>0</v>
      </c>
      <c r="E229" t="s">
        <v>81</v>
      </c>
      <c r="F229" t="s">
        <v>23</v>
      </c>
      <c r="G229" t="s">
        <v>22</v>
      </c>
      <c r="H229" t="s">
        <v>19</v>
      </c>
      <c r="I229" t="s">
        <v>18</v>
      </c>
      <c r="J229" t="s">
        <v>25</v>
      </c>
    </row>
    <row r="230" spans="1:15">
      <c r="A230" t="s">
        <v>74</v>
      </c>
      <c r="B230">
        <f t="shared" si="12"/>
        <v>2.145002145002145E-2</v>
      </c>
      <c r="C230">
        <f t="shared" si="13"/>
        <v>0.19138755980861244</v>
      </c>
      <c r="D230">
        <v>-0.1</v>
      </c>
      <c r="E230" t="s">
        <v>81</v>
      </c>
      <c r="F230" t="s">
        <v>17</v>
      </c>
      <c r="G230" t="s">
        <v>18</v>
      </c>
      <c r="H230" t="s">
        <v>24</v>
      </c>
      <c r="I230" t="s">
        <v>23</v>
      </c>
      <c r="J230" t="s">
        <v>25</v>
      </c>
    </row>
    <row r="231" spans="1:15">
      <c r="A231" t="s">
        <v>74</v>
      </c>
      <c r="B231">
        <f t="shared" si="12"/>
        <v>2.145002145002145E-2</v>
      </c>
      <c r="C231">
        <f t="shared" si="13"/>
        <v>0.19138755980861244</v>
      </c>
      <c r="D231">
        <v>-0.2</v>
      </c>
      <c r="E231" t="s">
        <v>81</v>
      </c>
      <c r="F231" t="s">
        <v>24</v>
      </c>
      <c r="G231" t="s">
        <v>18</v>
      </c>
      <c r="H231" t="s">
        <v>26</v>
      </c>
      <c r="I231" t="s">
        <v>21</v>
      </c>
      <c r="J231" t="s">
        <v>23</v>
      </c>
    </row>
    <row r="232" spans="1:15">
      <c r="A232" t="s">
        <v>74</v>
      </c>
      <c r="B232">
        <f t="shared" si="12"/>
        <v>2.145002145002145E-2</v>
      </c>
      <c r="C232">
        <f t="shared" si="13"/>
        <v>0.19138755980861244</v>
      </c>
      <c r="D232">
        <v>-0.3</v>
      </c>
      <c r="E232" t="s">
        <v>81</v>
      </c>
      <c r="F232" t="s">
        <v>26</v>
      </c>
      <c r="G232" t="s">
        <v>22</v>
      </c>
      <c r="H232" t="s">
        <v>19</v>
      </c>
      <c r="I232" t="s">
        <v>20</v>
      </c>
      <c r="J232" t="s">
        <v>24</v>
      </c>
    </row>
    <row r="233" spans="1:15">
      <c r="A233" t="s">
        <v>75</v>
      </c>
      <c r="B233">
        <f>1/2.3</f>
        <v>0.43478260869565222</v>
      </c>
      <c r="C233">
        <f>1/16/2.3</f>
        <v>2.7173913043478264E-2</v>
      </c>
      <c r="D233">
        <v>1.7</v>
      </c>
      <c r="E233" t="s">
        <v>81</v>
      </c>
      <c r="F233" t="s">
        <v>18</v>
      </c>
      <c r="G233" t="s">
        <v>22</v>
      </c>
      <c r="H233" t="s">
        <v>24</v>
      </c>
      <c r="I233" t="s">
        <v>20</v>
      </c>
      <c r="J233" t="s">
        <v>21</v>
      </c>
      <c r="K233" t="s">
        <v>18</v>
      </c>
      <c r="L233" t="s">
        <v>22</v>
      </c>
      <c r="M233" t="s">
        <v>24</v>
      </c>
      <c r="N233" t="s">
        <v>20</v>
      </c>
      <c r="O233" t="s">
        <v>21</v>
      </c>
    </row>
    <row r="234" spans="1:15">
      <c r="A234" t="s">
        <v>75</v>
      </c>
      <c r="B234">
        <f t="shared" ref="B234:B253" si="14">1/2.3</f>
        <v>0.43478260869565222</v>
      </c>
      <c r="C234">
        <f t="shared" ref="C234:C253" si="15">1/16/2.3</f>
        <v>2.7173913043478264E-2</v>
      </c>
      <c r="D234">
        <v>1.6</v>
      </c>
      <c r="E234" t="s">
        <v>81</v>
      </c>
      <c r="F234" t="s">
        <v>20</v>
      </c>
      <c r="G234" t="s">
        <v>25</v>
      </c>
      <c r="H234" t="s">
        <v>19</v>
      </c>
      <c r="I234" t="s">
        <v>22</v>
      </c>
      <c r="J234" t="s">
        <v>18</v>
      </c>
      <c r="K234" t="s">
        <v>20</v>
      </c>
      <c r="L234" t="s">
        <v>25</v>
      </c>
      <c r="M234" t="s">
        <v>19</v>
      </c>
      <c r="N234" t="s">
        <v>22</v>
      </c>
      <c r="O234" t="s">
        <v>18</v>
      </c>
    </row>
    <row r="235" spans="1:15">
      <c r="A235" t="s">
        <v>75</v>
      </c>
      <c r="B235">
        <f t="shared" si="14"/>
        <v>0.43478260869565222</v>
      </c>
      <c r="C235">
        <f t="shared" si="15"/>
        <v>2.7173913043478264E-2</v>
      </c>
      <c r="D235">
        <v>1.5</v>
      </c>
      <c r="E235" t="s">
        <v>81</v>
      </c>
      <c r="F235" t="s">
        <v>18</v>
      </c>
      <c r="G235" t="s">
        <v>21</v>
      </c>
      <c r="H235" t="s">
        <v>25</v>
      </c>
      <c r="I235" t="s">
        <v>20</v>
      </c>
      <c r="J235" t="s">
        <v>24</v>
      </c>
      <c r="K235" t="s">
        <v>18</v>
      </c>
      <c r="L235" t="s">
        <v>21</v>
      </c>
      <c r="M235" t="s">
        <v>25</v>
      </c>
      <c r="N235" t="s">
        <v>20</v>
      </c>
      <c r="O235" t="s">
        <v>24</v>
      </c>
    </row>
    <row r="236" spans="1:15">
      <c r="A236" t="s">
        <v>75</v>
      </c>
      <c r="B236">
        <f t="shared" si="14"/>
        <v>0.43478260869565222</v>
      </c>
      <c r="C236">
        <f t="shared" si="15"/>
        <v>2.7173913043478264E-2</v>
      </c>
      <c r="D236">
        <v>1.4</v>
      </c>
      <c r="E236" t="s">
        <v>81</v>
      </c>
      <c r="F236" t="s">
        <v>26</v>
      </c>
      <c r="G236" t="s">
        <v>25</v>
      </c>
      <c r="H236" t="s">
        <v>22</v>
      </c>
      <c r="I236" t="s">
        <v>19</v>
      </c>
      <c r="J236" t="s">
        <v>23</v>
      </c>
      <c r="K236" t="s">
        <v>26</v>
      </c>
      <c r="L236" t="s">
        <v>25</v>
      </c>
      <c r="M236" t="s">
        <v>22</v>
      </c>
      <c r="N236" t="s">
        <v>19</v>
      </c>
      <c r="O236" t="s">
        <v>23</v>
      </c>
    </row>
    <row r="237" spans="1:15">
      <c r="A237" t="s">
        <v>75</v>
      </c>
      <c r="B237">
        <f t="shared" si="14"/>
        <v>0.43478260869565222</v>
      </c>
      <c r="C237">
        <f t="shared" si="15"/>
        <v>2.7173913043478264E-2</v>
      </c>
      <c r="D237">
        <v>1.3</v>
      </c>
      <c r="E237" t="s">
        <v>81</v>
      </c>
      <c r="F237" t="s">
        <v>24</v>
      </c>
      <c r="G237" t="s">
        <v>23</v>
      </c>
      <c r="H237" t="s">
        <v>19</v>
      </c>
      <c r="I237" t="s">
        <v>17</v>
      </c>
      <c r="J237" t="s">
        <v>18</v>
      </c>
      <c r="K237" t="s">
        <v>24</v>
      </c>
      <c r="L237" t="s">
        <v>23</v>
      </c>
      <c r="M237" t="s">
        <v>19</v>
      </c>
      <c r="N237" t="s">
        <v>17</v>
      </c>
      <c r="O237" t="s">
        <v>18</v>
      </c>
    </row>
    <row r="238" spans="1:15">
      <c r="A238" t="s">
        <v>75</v>
      </c>
      <c r="B238">
        <f t="shared" si="14"/>
        <v>0.43478260869565222</v>
      </c>
      <c r="C238">
        <f t="shared" si="15"/>
        <v>2.7173913043478264E-2</v>
      </c>
      <c r="D238">
        <v>1.2</v>
      </c>
      <c r="E238" t="s">
        <v>81</v>
      </c>
      <c r="F238" t="s">
        <v>26</v>
      </c>
      <c r="G238" t="s">
        <v>19</v>
      </c>
      <c r="H238" t="s">
        <v>24</v>
      </c>
      <c r="I238" t="s">
        <v>23</v>
      </c>
      <c r="J238" t="s">
        <v>17</v>
      </c>
      <c r="K238" t="s">
        <v>26</v>
      </c>
      <c r="L238" t="s">
        <v>19</v>
      </c>
      <c r="M238" t="s">
        <v>24</v>
      </c>
      <c r="N238" t="s">
        <v>23</v>
      </c>
      <c r="O238" t="s">
        <v>17</v>
      </c>
    </row>
    <row r="239" spans="1:15">
      <c r="A239" t="s">
        <v>75</v>
      </c>
      <c r="B239">
        <f t="shared" si="14"/>
        <v>0.43478260869565222</v>
      </c>
      <c r="C239">
        <f t="shared" si="15"/>
        <v>2.7173913043478264E-2</v>
      </c>
      <c r="D239">
        <v>1.1000000000000001</v>
      </c>
      <c r="E239" t="s">
        <v>81</v>
      </c>
      <c r="F239" t="s">
        <v>22</v>
      </c>
      <c r="G239" t="s">
        <v>20</v>
      </c>
      <c r="H239" t="s">
        <v>18</v>
      </c>
      <c r="I239" t="s">
        <v>17</v>
      </c>
      <c r="J239" t="s">
        <v>26</v>
      </c>
      <c r="K239" t="s">
        <v>22</v>
      </c>
      <c r="L239" t="s">
        <v>20</v>
      </c>
      <c r="M239" t="s">
        <v>18</v>
      </c>
      <c r="N239" t="s">
        <v>17</v>
      </c>
      <c r="O239" t="s">
        <v>26</v>
      </c>
    </row>
    <row r="240" spans="1:15">
      <c r="A240" t="s">
        <v>75</v>
      </c>
      <c r="B240">
        <f t="shared" si="14"/>
        <v>0.43478260869565222</v>
      </c>
      <c r="C240">
        <f t="shared" si="15"/>
        <v>2.7173913043478264E-2</v>
      </c>
      <c r="D240">
        <v>1</v>
      </c>
      <c r="E240" t="s">
        <v>81</v>
      </c>
      <c r="F240" t="s">
        <v>20</v>
      </c>
      <c r="G240" t="s">
        <v>19</v>
      </c>
      <c r="H240" t="s">
        <v>17</v>
      </c>
      <c r="I240" t="s">
        <v>23</v>
      </c>
      <c r="J240" t="s">
        <v>18</v>
      </c>
      <c r="K240" t="s">
        <v>20</v>
      </c>
      <c r="L240" t="s">
        <v>19</v>
      </c>
      <c r="M240" t="s">
        <v>17</v>
      </c>
      <c r="N240" t="s">
        <v>23</v>
      </c>
      <c r="O240" t="s">
        <v>18</v>
      </c>
    </row>
    <row r="241" spans="1:15">
      <c r="A241" t="s">
        <v>75</v>
      </c>
      <c r="B241">
        <f t="shared" si="14"/>
        <v>0.43478260869565222</v>
      </c>
      <c r="C241">
        <f t="shared" si="15"/>
        <v>2.7173913043478264E-2</v>
      </c>
      <c r="D241">
        <v>0.90000000000000102</v>
      </c>
      <c r="E241" t="s">
        <v>81</v>
      </c>
      <c r="F241" t="s">
        <v>18</v>
      </c>
      <c r="G241" t="s">
        <v>17</v>
      </c>
      <c r="H241" t="s">
        <v>22</v>
      </c>
      <c r="I241" t="s">
        <v>23</v>
      </c>
      <c r="J241" t="s">
        <v>24</v>
      </c>
      <c r="K241" t="s">
        <v>18</v>
      </c>
      <c r="L241" t="s">
        <v>17</v>
      </c>
      <c r="M241" t="s">
        <v>22</v>
      </c>
      <c r="N241" t="s">
        <v>23</v>
      </c>
      <c r="O241" t="s">
        <v>24</v>
      </c>
    </row>
    <row r="242" spans="1:15">
      <c r="A242" t="s">
        <v>75</v>
      </c>
      <c r="B242">
        <f t="shared" si="14"/>
        <v>0.43478260869565222</v>
      </c>
      <c r="C242">
        <f t="shared" si="15"/>
        <v>2.7173913043478264E-2</v>
      </c>
      <c r="D242">
        <v>0.80000000000000104</v>
      </c>
      <c r="E242" t="s">
        <v>81</v>
      </c>
      <c r="F242" t="s">
        <v>23</v>
      </c>
      <c r="G242" t="s">
        <v>20</v>
      </c>
      <c r="H242" t="s">
        <v>25</v>
      </c>
      <c r="I242" t="s">
        <v>24</v>
      </c>
      <c r="J242" t="s">
        <v>26</v>
      </c>
      <c r="K242" t="s">
        <v>23</v>
      </c>
      <c r="L242" t="s">
        <v>20</v>
      </c>
      <c r="M242" t="s">
        <v>25</v>
      </c>
      <c r="N242" t="s">
        <v>24</v>
      </c>
      <c r="O242" t="s">
        <v>26</v>
      </c>
    </row>
    <row r="243" spans="1:15">
      <c r="A243" t="s">
        <v>75</v>
      </c>
      <c r="B243">
        <f t="shared" si="14"/>
        <v>0.43478260869565222</v>
      </c>
      <c r="C243">
        <f t="shared" si="15"/>
        <v>2.7173913043478264E-2</v>
      </c>
      <c r="D243">
        <v>0.70000000000000095</v>
      </c>
      <c r="E243" t="s">
        <v>81</v>
      </c>
      <c r="F243" t="s">
        <v>19</v>
      </c>
      <c r="G243" t="s">
        <v>22</v>
      </c>
      <c r="H243" t="s">
        <v>18</v>
      </c>
      <c r="I243" t="s">
        <v>23</v>
      </c>
      <c r="J243" t="s">
        <v>17</v>
      </c>
      <c r="K243" t="s">
        <v>19</v>
      </c>
      <c r="L243" t="s">
        <v>22</v>
      </c>
      <c r="M243" t="s">
        <v>18</v>
      </c>
      <c r="N243" t="s">
        <v>23</v>
      </c>
      <c r="O243" t="s">
        <v>17</v>
      </c>
    </row>
    <row r="244" spans="1:15">
      <c r="A244" t="s">
        <v>75</v>
      </c>
      <c r="B244">
        <f t="shared" si="14"/>
        <v>0.43478260869565222</v>
      </c>
      <c r="C244">
        <f t="shared" si="15"/>
        <v>2.7173913043478264E-2</v>
      </c>
      <c r="D244">
        <v>0.6</v>
      </c>
      <c r="E244" t="s">
        <v>81</v>
      </c>
      <c r="F244" t="s">
        <v>21</v>
      </c>
      <c r="G244" t="s">
        <v>25</v>
      </c>
      <c r="H244" t="s">
        <v>20</v>
      </c>
      <c r="I244" t="s">
        <v>19</v>
      </c>
      <c r="J244" t="s">
        <v>17</v>
      </c>
      <c r="K244" t="s">
        <v>21</v>
      </c>
      <c r="L244" t="s">
        <v>25</v>
      </c>
      <c r="M244" t="s">
        <v>20</v>
      </c>
      <c r="N244" t="s">
        <v>19</v>
      </c>
      <c r="O244" t="s">
        <v>17</v>
      </c>
    </row>
    <row r="245" spans="1:15">
      <c r="A245" t="s">
        <v>75</v>
      </c>
      <c r="B245">
        <f t="shared" si="14"/>
        <v>0.43478260869565222</v>
      </c>
      <c r="C245">
        <f t="shared" si="15"/>
        <v>2.7173913043478264E-2</v>
      </c>
      <c r="D245">
        <v>0.5</v>
      </c>
      <c r="E245" t="s">
        <v>81</v>
      </c>
      <c r="F245" t="s">
        <v>21</v>
      </c>
      <c r="G245" t="s">
        <v>22</v>
      </c>
      <c r="H245" t="s">
        <v>19</v>
      </c>
      <c r="I245" t="s">
        <v>24</v>
      </c>
      <c r="J245" t="s">
        <v>17</v>
      </c>
      <c r="K245" t="s">
        <v>21</v>
      </c>
      <c r="L245" t="s">
        <v>22</v>
      </c>
      <c r="M245" t="s">
        <v>19</v>
      </c>
      <c r="N245" t="s">
        <v>24</v>
      </c>
      <c r="O245" t="s">
        <v>17</v>
      </c>
    </row>
    <row r="246" spans="1:15">
      <c r="A246" t="s">
        <v>75</v>
      </c>
      <c r="B246">
        <f t="shared" si="14"/>
        <v>0.43478260869565222</v>
      </c>
      <c r="C246">
        <f t="shared" si="15"/>
        <v>2.7173913043478264E-2</v>
      </c>
      <c r="D246">
        <v>0.4</v>
      </c>
      <c r="E246" t="s">
        <v>81</v>
      </c>
      <c r="F246" t="s">
        <v>26</v>
      </c>
      <c r="G246" t="s">
        <v>19</v>
      </c>
      <c r="H246" t="s">
        <v>22</v>
      </c>
      <c r="I246" t="s">
        <v>23</v>
      </c>
      <c r="J246" t="s">
        <v>21</v>
      </c>
      <c r="K246" t="s">
        <v>26</v>
      </c>
      <c r="L246" t="s">
        <v>19</v>
      </c>
      <c r="N246" t="s">
        <v>23</v>
      </c>
      <c r="O246" t="s">
        <v>21</v>
      </c>
    </row>
    <row r="247" spans="1:15">
      <c r="A247" t="s">
        <v>75</v>
      </c>
      <c r="B247">
        <f t="shared" si="14"/>
        <v>0.43478260869565222</v>
      </c>
      <c r="C247">
        <f t="shared" si="15"/>
        <v>2.7173913043478264E-2</v>
      </c>
      <c r="D247">
        <v>0.3</v>
      </c>
      <c r="E247" t="s">
        <v>81</v>
      </c>
      <c r="F247" t="s">
        <v>26</v>
      </c>
      <c r="G247" t="s">
        <v>21</v>
      </c>
      <c r="H247" t="s">
        <v>24</v>
      </c>
      <c r="I247" t="s">
        <v>20</v>
      </c>
      <c r="J247" t="s">
        <v>19</v>
      </c>
      <c r="K247" t="s">
        <v>26</v>
      </c>
    </row>
    <row r="248" spans="1:15">
      <c r="A248" t="s">
        <v>75</v>
      </c>
      <c r="B248">
        <f t="shared" si="14"/>
        <v>0.43478260869565222</v>
      </c>
      <c r="C248">
        <f t="shared" si="15"/>
        <v>2.7173913043478264E-2</v>
      </c>
      <c r="D248">
        <v>0.2</v>
      </c>
      <c r="E248" t="s">
        <v>81</v>
      </c>
      <c r="F248" t="s">
        <v>19</v>
      </c>
      <c r="G248" t="s">
        <v>18</v>
      </c>
      <c r="H248" t="s">
        <v>25</v>
      </c>
      <c r="I248" t="s">
        <v>21</v>
      </c>
      <c r="J248" t="s">
        <v>23</v>
      </c>
    </row>
    <row r="249" spans="1:15">
      <c r="A249" t="s">
        <v>75</v>
      </c>
      <c r="B249">
        <f t="shared" si="14"/>
        <v>0.43478260869565222</v>
      </c>
      <c r="C249">
        <f t="shared" si="15"/>
        <v>2.7173913043478264E-2</v>
      </c>
      <c r="D249">
        <v>9.9999999999999895E-2</v>
      </c>
      <c r="E249" t="s">
        <v>81</v>
      </c>
      <c r="F249" t="s">
        <v>22</v>
      </c>
      <c r="G249" t="s">
        <v>26</v>
      </c>
      <c r="H249" t="s">
        <v>21</v>
      </c>
      <c r="I249" t="s">
        <v>19</v>
      </c>
      <c r="J249" t="s">
        <v>20</v>
      </c>
    </row>
    <row r="250" spans="1:15">
      <c r="A250" t="s">
        <v>75</v>
      </c>
      <c r="B250">
        <f t="shared" si="14"/>
        <v>0.43478260869565222</v>
      </c>
      <c r="C250">
        <f t="shared" si="15"/>
        <v>2.7173913043478264E-2</v>
      </c>
      <c r="D250">
        <v>0</v>
      </c>
      <c r="E250" t="s">
        <v>81</v>
      </c>
      <c r="F250" t="s">
        <v>18</v>
      </c>
      <c r="G250" t="s">
        <v>23</v>
      </c>
      <c r="H250" t="s">
        <v>21</v>
      </c>
      <c r="I250" t="s">
        <v>17</v>
      </c>
      <c r="J250" t="s">
        <v>19</v>
      </c>
    </row>
    <row r="251" spans="1:15">
      <c r="A251" t="s">
        <v>75</v>
      </c>
      <c r="B251">
        <f t="shared" si="14"/>
        <v>0.43478260869565222</v>
      </c>
      <c r="C251">
        <f t="shared" si="15"/>
        <v>2.7173913043478264E-2</v>
      </c>
      <c r="D251">
        <v>-0.1</v>
      </c>
      <c r="E251" t="s">
        <v>81</v>
      </c>
      <c r="F251" t="s">
        <v>18</v>
      </c>
      <c r="G251" t="s">
        <v>25</v>
      </c>
      <c r="H251" t="s">
        <v>26</v>
      </c>
      <c r="I251" t="s">
        <v>17</v>
      </c>
      <c r="J251" t="s">
        <v>22</v>
      </c>
    </row>
    <row r="252" spans="1:15">
      <c r="A252" t="s">
        <v>75</v>
      </c>
      <c r="B252">
        <f t="shared" si="14"/>
        <v>0.43478260869565222</v>
      </c>
      <c r="C252">
        <f t="shared" si="15"/>
        <v>2.7173913043478264E-2</v>
      </c>
      <c r="D252">
        <v>-0.2</v>
      </c>
      <c r="E252" t="s">
        <v>81</v>
      </c>
      <c r="F252" t="s">
        <v>19</v>
      </c>
      <c r="G252" t="s">
        <v>25</v>
      </c>
      <c r="H252" t="s">
        <v>17</v>
      </c>
      <c r="I252" t="s">
        <v>22</v>
      </c>
      <c r="J252" t="s">
        <v>20</v>
      </c>
    </row>
    <row r="253" spans="1:15">
      <c r="A253" t="s">
        <v>75</v>
      </c>
      <c r="B253">
        <f t="shared" si="14"/>
        <v>0.43478260869565222</v>
      </c>
      <c r="C253">
        <f t="shared" si="15"/>
        <v>2.7173913043478264E-2</v>
      </c>
      <c r="D253">
        <v>-0.3</v>
      </c>
      <c r="E253" t="s">
        <v>81</v>
      </c>
      <c r="F253" t="s">
        <v>22</v>
      </c>
      <c r="G253" t="s">
        <v>21</v>
      </c>
      <c r="H253" t="s">
        <v>25</v>
      </c>
      <c r="I253" t="s">
        <v>19</v>
      </c>
      <c r="J253" t="s">
        <v>17</v>
      </c>
    </row>
    <row r="254" spans="1:15">
      <c r="A254" t="s">
        <v>76</v>
      </c>
      <c r="B254">
        <f>1/3.95</f>
        <v>0.25316455696202528</v>
      </c>
      <c r="C254">
        <f>1/16/3.95</f>
        <v>1.582278481012658E-2</v>
      </c>
      <c r="D254">
        <v>1.7</v>
      </c>
      <c r="E254" t="s">
        <v>81</v>
      </c>
      <c r="F254" t="s">
        <v>25</v>
      </c>
      <c r="G254" t="s">
        <v>17</v>
      </c>
      <c r="H254" t="s">
        <v>24</v>
      </c>
      <c r="I254" t="s">
        <v>26</v>
      </c>
      <c r="J254" t="s">
        <v>22</v>
      </c>
      <c r="K254" t="s">
        <v>25</v>
      </c>
      <c r="L254" t="s">
        <v>17</v>
      </c>
      <c r="M254" t="s">
        <v>24</v>
      </c>
      <c r="N254" t="s">
        <v>26</v>
      </c>
      <c r="O254" t="s">
        <v>22</v>
      </c>
    </row>
    <row r="255" spans="1:15">
      <c r="A255" t="s">
        <v>76</v>
      </c>
      <c r="B255">
        <f t="shared" ref="B255:B274" si="16">1/3.95</f>
        <v>0.25316455696202528</v>
      </c>
      <c r="C255">
        <f t="shared" ref="C255:C274" si="17">1/16/3.95</f>
        <v>1.582278481012658E-2</v>
      </c>
      <c r="D255">
        <v>1.6</v>
      </c>
      <c r="E255" t="s">
        <v>81</v>
      </c>
      <c r="F255" t="s">
        <v>24</v>
      </c>
      <c r="G255" t="s">
        <v>20</v>
      </c>
      <c r="H255" t="s">
        <v>22</v>
      </c>
      <c r="I255" t="s">
        <v>21</v>
      </c>
      <c r="J255" t="s">
        <v>17</v>
      </c>
      <c r="K255" t="s">
        <v>24</v>
      </c>
      <c r="L255" t="s">
        <v>20</v>
      </c>
      <c r="M255" t="s">
        <v>22</v>
      </c>
      <c r="N255" t="s">
        <v>21</v>
      </c>
      <c r="O255" t="s">
        <v>17</v>
      </c>
    </row>
    <row r="256" spans="1:15">
      <c r="A256" t="s">
        <v>76</v>
      </c>
      <c r="B256">
        <f t="shared" si="16"/>
        <v>0.25316455696202528</v>
      </c>
      <c r="C256">
        <f t="shared" si="17"/>
        <v>1.582278481012658E-2</v>
      </c>
      <c r="D256">
        <v>1.5</v>
      </c>
      <c r="E256" t="s">
        <v>81</v>
      </c>
      <c r="F256" t="s">
        <v>22</v>
      </c>
      <c r="G256" t="s">
        <v>26</v>
      </c>
      <c r="H256" t="s">
        <v>23</v>
      </c>
      <c r="I256" t="s">
        <v>21</v>
      </c>
      <c r="J256" t="s">
        <v>25</v>
      </c>
      <c r="K256" t="s">
        <v>22</v>
      </c>
      <c r="L256" t="s">
        <v>26</v>
      </c>
      <c r="M256" t="s">
        <v>23</v>
      </c>
      <c r="N256" t="s">
        <v>21</v>
      </c>
      <c r="O256" t="s">
        <v>25</v>
      </c>
    </row>
    <row r="257" spans="1:15">
      <c r="A257" t="s">
        <v>76</v>
      </c>
      <c r="B257">
        <f t="shared" si="16"/>
        <v>0.25316455696202528</v>
      </c>
      <c r="C257">
        <f t="shared" si="17"/>
        <v>1.582278481012658E-2</v>
      </c>
      <c r="D257">
        <v>1.4</v>
      </c>
      <c r="E257" t="s">
        <v>81</v>
      </c>
      <c r="F257" t="s">
        <v>23</v>
      </c>
      <c r="G257" t="s">
        <v>20</v>
      </c>
      <c r="H257" t="s">
        <v>17</v>
      </c>
      <c r="I257" t="s">
        <v>24</v>
      </c>
      <c r="J257" t="s">
        <v>25</v>
      </c>
      <c r="K257" t="s">
        <v>23</v>
      </c>
      <c r="L257" t="s">
        <v>20</v>
      </c>
      <c r="M257" t="s">
        <v>17</v>
      </c>
      <c r="N257" t="s">
        <v>24</v>
      </c>
      <c r="O257" t="s">
        <v>25</v>
      </c>
    </row>
    <row r="258" spans="1:15">
      <c r="A258" t="s">
        <v>76</v>
      </c>
      <c r="B258">
        <f t="shared" si="16"/>
        <v>0.25316455696202528</v>
      </c>
      <c r="C258">
        <f t="shared" si="17"/>
        <v>1.582278481012658E-2</v>
      </c>
      <c r="D258">
        <v>1.3</v>
      </c>
      <c r="E258" t="s">
        <v>81</v>
      </c>
      <c r="F258" t="s">
        <v>26</v>
      </c>
      <c r="G258" t="s">
        <v>20</v>
      </c>
      <c r="H258" t="s">
        <v>24</v>
      </c>
      <c r="I258" t="s">
        <v>18</v>
      </c>
      <c r="J258" t="s">
        <v>25</v>
      </c>
      <c r="K258" t="s">
        <v>26</v>
      </c>
      <c r="L258" t="s">
        <v>20</v>
      </c>
      <c r="M258" t="s">
        <v>24</v>
      </c>
      <c r="N258" t="s">
        <v>18</v>
      </c>
      <c r="O258" t="s">
        <v>25</v>
      </c>
    </row>
    <row r="259" spans="1:15">
      <c r="A259" t="s">
        <v>76</v>
      </c>
      <c r="B259">
        <f t="shared" si="16"/>
        <v>0.25316455696202528</v>
      </c>
      <c r="C259">
        <f t="shared" si="17"/>
        <v>1.582278481012658E-2</v>
      </c>
      <c r="D259">
        <v>1.2</v>
      </c>
      <c r="E259" t="s">
        <v>81</v>
      </c>
      <c r="F259" t="s">
        <v>19</v>
      </c>
      <c r="G259" t="s">
        <v>21</v>
      </c>
      <c r="H259" t="s">
        <v>20</v>
      </c>
      <c r="I259" t="s">
        <v>24</v>
      </c>
      <c r="J259" t="s">
        <v>18</v>
      </c>
      <c r="K259" t="s">
        <v>19</v>
      </c>
      <c r="L259" t="s">
        <v>21</v>
      </c>
      <c r="M259" t="s">
        <v>20</v>
      </c>
      <c r="N259" t="s">
        <v>24</v>
      </c>
      <c r="O259" t="s">
        <v>18</v>
      </c>
    </row>
    <row r="260" spans="1:15">
      <c r="A260" t="s">
        <v>76</v>
      </c>
      <c r="B260">
        <f t="shared" si="16"/>
        <v>0.25316455696202528</v>
      </c>
      <c r="C260">
        <f t="shared" si="17"/>
        <v>1.582278481012658E-2</v>
      </c>
      <c r="D260">
        <v>1.1000000000000001</v>
      </c>
      <c r="E260" t="s">
        <v>81</v>
      </c>
      <c r="F260" t="s">
        <v>26</v>
      </c>
      <c r="G260" t="s">
        <v>19</v>
      </c>
      <c r="H260" t="s">
        <v>20</v>
      </c>
      <c r="I260" t="s">
        <v>24</v>
      </c>
      <c r="J260" t="s">
        <v>25</v>
      </c>
      <c r="K260" t="s">
        <v>26</v>
      </c>
      <c r="L260" t="s">
        <v>19</v>
      </c>
      <c r="M260" t="s">
        <v>20</v>
      </c>
      <c r="N260" t="s">
        <v>24</v>
      </c>
      <c r="O260" t="s">
        <v>25</v>
      </c>
    </row>
    <row r="261" spans="1:15">
      <c r="A261" t="s">
        <v>76</v>
      </c>
      <c r="B261">
        <f t="shared" si="16"/>
        <v>0.25316455696202528</v>
      </c>
      <c r="C261">
        <f t="shared" si="17"/>
        <v>1.582278481012658E-2</v>
      </c>
      <c r="D261">
        <v>1</v>
      </c>
      <c r="E261" t="s">
        <v>81</v>
      </c>
      <c r="F261" t="s">
        <v>23</v>
      </c>
      <c r="G261" t="s">
        <v>18</v>
      </c>
      <c r="H261" t="s">
        <v>26</v>
      </c>
      <c r="I261" t="s">
        <v>24</v>
      </c>
      <c r="J261" t="s">
        <v>20</v>
      </c>
      <c r="K261" t="s">
        <v>23</v>
      </c>
      <c r="L261" t="s">
        <v>18</v>
      </c>
      <c r="M261" t="s">
        <v>26</v>
      </c>
      <c r="N261" t="s">
        <v>24</v>
      </c>
      <c r="O261" t="s">
        <v>20</v>
      </c>
    </row>
    <row r="262" spans="1:15">
      <c r="A262" t="s">
        <v>76</v>
      </c>
      <c r="B262">
        <f t="shared" si="16"/>
        <v>0.25316455696202528</v>
      </c>
      <c r="C262">
        <f t="shared" si="17"/>
        <v>1.582278481012658E-2</v>
      </c>
      <c r="D262">
        <v>0.90000000000000102</v>
      </c>
      <c r="E262" t="s">
        <v>81</v>
      </c>
      <c r="F262" t="s">
        <v>20</v>
      </c>
      <c r="G262" t="s">
        <v>17</v>
      </c>
      <c r="H262" t="s">
        <v>24</v>
      </c>
      <c r="I262" t="s">
        <v>21</v>
      </c>
      <c r="J262" t="s">
        <v>22</v>
      </c>
      <c r="K262" t="s">
        <v>20</v>
      </c>
      <c r="L262" t="s">
        <v>17</v>
      </c>
      <c r="M262" t="s">
        <v>24</v>
      </c>
      <c r="N262" t="s">
        <v>21</v>
      </c>
      <c r="O262" t="s">
        <v>22</v>
      </c>
    </row>
    <row r="263" spans="1:15">
      <c r="A263" t="s">
        <v>76</v>
      </c>
      <c r="B263">
        <f t="shared" si="16"/>
        <v>0.25316455696202528</v>
      </c>
      <c r="C263">
        <f t="shared" si="17"/>
        <v>1.582278481012658E-2</v>
      </c>
      <c r="D263">
        <v>0.80000000000000104</v>
      </c>
      <c r="E263" t="s">
        <v>81</v>
      </c>
      <c r="F263" t="s">
        <v>20</v>
      </c>
      <c r="G263" t="s">
        <v>22</v>
      </c>
      <c r="H263" t="s">
        <v>25</v>
      </c>
      <c r="I263" t="s">
        <v>21</v>
      </c>
      <c r="J263" t="s">
        <v>26</v>
      </c>
      <c r="K263" t="s">
        <v>20</v>
      </c>
      <c r="L263" t="s">
        <v>22</v>
      </c>
      <c r="M263" t="s">
        <v>25</v>
      </c>
      <c r="N263" t="s">
        <v>21</v>
      </c>
      <c r="O263" t="s">
        <v>26</v>
      </c>
    </row>
    <row r="264" spans="1:15">
      <c r="A264" t="s">
        <v>76</v>
      </c>
      <c r="B264">
        <f t="shared" si="16"/>
        <v>0.25316455696202528</v>
      </c>
      <c r="C264">
        <f t="shared" si="17"/>
        <v>1.582278481012658E-2</v>
      </c>
      <c r="D264">
        <v>0.70000000000000095</v>
      </c>
      <c r="E264" t="s">
        <v>81</v>
      </c>
      <c r="F264" t="s">
        <v>22</v>
      </c>
      <c r="G264" t="s">
        <v>19</v>
      </c>
      <c r="H264" t="s">
        <v>18</v>
      </c>
      <c r="I264" t="s">
        <v>25</v>
      </c>
      <c r="J264" t="s">
        <v>26</v>
      </c>
    </row>
    <row r="265" spans="1:15">
      <c r="A265" t="s">
        <v>76</v>
      </c>
      <c r="B265">
        <f t="shared" si="16"/>
        <v>0.25316455696202528</v>
      </c>
      <c r="C265">
        <f t="shared" si="17"/>
        <v>1.582278481012658E-2</v>
      </c>
      <c r="D265">
        <v>0.6</v>
      </c>
      <c r="E265" t="s">
        <v>81</v>
      </c>
      <c r="F265" t="s">
        <v>24</v>
      </c>
      <c r="G265" t="s">
        <v>25</v>
      </c>
      <c r="H265" t="s">
        <v>17</v>
      </c>
      <c r="I265" t="s">
        <v>19</v>
      </c>
      <c r="J265" t="s">
        <v>21</v>
      </c>
    </row>
    <row r="266" spans="1:15">
      <c r="A266" t="s">
        <v>76</v>
      </c>
      <c r="B266">
        <f t="shared" si="16"/>
        <v>0.25316455696202528</v>
      </c>
      <c r="C266">
        <f t="shared" si="17"/>
        <v>1.582278481012658E-2</v>
      </c>
      <c r="D266">
        <v>0.5</v>
      </c>
      <c r="E266" t="s">
        <v>81</v>
      </c>
      <c r="F266" t="s">
        <v>24</v>
      </c>
      <c r="G266" t="s">
        <v>20</v>
      </c>
      <c r="H266" t="s">
        <v>26</v>
      </c>
      <c r="I266" t="s">
        <v>23</v>
      </c>
      <c r="J266" t="s">
        <v>18</v>
      </c>
    </row>
    <row r="267" spans="1:15">
      <c r="A267" t="s">
        <v>76</v>
      </c>
      <c r="B267">
        <f t="shared" si="16"/>
        <v>0.25316455696202528</v>
      </c>
      <c r="C267">
        <f t="shared" si="17"/>
        <v>1.582278481012658E-2</v>
      </c>
      <c r="D267">
        <v>0.4</v>
      </c>
      <c r="E267" t="s">
        <v>81</v>
      </c>
      <c r="F267" t="s">
        <v>17</v>
      </c>
      <c r="G267" t="s">
        <v>18</v>
      </c>
      <c r="H267" t="s">
        <v>19</v>
      </c>
      <c r="I267" t="s">
        <v>25</v>
      </c>
      <c r="J267" t="s">
        <v>21</v>
      </c>
    </row>
    <row r="268" spans="1:15">
      <c r="A268" t="s">
        <v>76</v>
      </c>
      <c r="B268">
        <f t="shared" si="16"/>
        <v>0.25316455696202528</v>
      </c>
      <c r="C268">
        <f t="shared" si="17"/>
        <v>1.582278481012658E-2</v>
      </c>
      <c r="D268">
        <v>0.3</v>
      </c>
      <c r="E268" t="s">
        <v>81</v>
      </c>
      <c r="F268" t="s">
        <v>24</v>
      </c>
      <c r="G268" t="s">
        <v>19</v>
      </c>
      <c r="H268" t="s">
        <v>18</v>
      </c>
      <c r="I268" t="s">
        <v>21</v>
      </c>
      <c r="J268" t="s">
        <v>17</v>
      </c>
    </row>
    <row r="269" spans="1:15">
      <c r="A269" t="s">
        <v>76</v>
      </c>
      <c r="B269">
        <f t="shared" si="16"/>
        <v>0.25316455696202528</v>
      </c>
      <c r="C269">
        <f t="shared" si="17"/>
        <v>1.582278481012658E-2</v>
      </c>
      <c r="D269">
        <v>0.2</v>
      </c>
      <c r="E269" t="s">
        <v>81</v>
      </c>
      <c r="F269" t="s">
        <v>19</v>
      </c>
      <c r="G269" t="s">
        <v>26</v>
      </c>
      <c r="H269" t="s">
        <v>20</v>
      </c>
      <c r="I269" t="s">
        <v>22</v>
      </c>
      <c r="J269" t="s">
        <v>25</v>
      </c>
    </row>
    <row r="270" spans="1:15">
      <c r="A270" t="s">
        <v>76</v>
      </c>
      <c r="B270">
        <f t="shared" si="16"/>
        <v>0.25316455696202528</v>
      </c>
      <c r="C270">
        <f t="shared" si="17"/>
        <v>1.582278481012658E-2</v>
      </c>
      <c r="D270">
        <v>9.9999999999999895E-2</v>
      </c>
      <c r="E270" t="s">
        <v>81</v>
      </c>
      <c r="F270" t="s">
        <v>21</v>
      </c>
      <c r="G270" t="s">
        <v>18</v>
      </c>
      <c r="H270" t="s">
        <v>22</v>
      </c>
      <c r="I270" t="s">
        <v>25</v>
      </c>
      <c r="J270" t="s">
        <v>17</v>
      </c>
    </row>
    <row r="271" spans="1:15">
      <c r="A271" t="s">
        <v>76</v>
      </c>
      <c r="B271">
        <f t="shared" si="16"/>
        <v>0.25316455696202528</v>
      </c>
      <c r="C271">
        <f t="shared" si="17"/>
        <v>1.582278481012658E-2</v>
      </c>
      <c r="D271">
        <v>0</v>
      </c>
      <c r="E271" t="s">
        <v>81</v>
      </c>
      <c r="F271" t="s">
        <v>21</v>
      </c>
      <c r="G271" t="s">
        <v>26</v>
      </c>
      <c r="H271" t="s">
        <v>23</v>
      </c>
      <c r="I271" t="s">
        <v>24</v>
      </c>
      <c r="J271" t="s">
        <v>20</v>
      </c>
    </row>
    <row r="272" spans="1:15">
      <c r="A272" t="s">
        <v>76</v>
      </c>
      <c r="B272">
        <f t="shared" si="16"/>
        <v>0.25316455696202528</v>
      </c>
      <c r="C272">
        <f t="shared" si="17"/>
        <v>1.582278481012658E-2</v>
      </c>
      <c r="D272">
        <v>-0.1</v>
      </c>
      <c r="E272" t="s">
        <v>81</v>
      </c>
      <c r="F272" t="s">
        <v>17</v>
      </c>
      <c r="G272" t="s">
        <v>24</v>
      </c>
      <c r="H272" t="s">
        <v>25</v>
      </c>
      <c r="I272" t="s">
        <v>19</v>
      </c>
      <c r="J272" t="s">
        <v>26</v>
      </c>
    </row>
    <row r="273" spans="1:15">
      <c r="A273" t="s">
        <v>76</v>
      </c>
      <c r="B273">
        <f t="shared" si="16"/>
        <v>0.25316455696202528</v>
      </c>
      <c r="C273">
        <f t="shared" si="17"/>
        <v>1.582278481012658E-2</v>
      </c>
      <c r="D273">
        <v>-0.2</v>
      </c>
      <c r="E273" t="s">
        <v>81</v>
      </c>
      <c r="F273" t="s">
        <v>24</v>
      </c>
      <c r="G273" t="s">
        <v>26</v>
      </c>
      <c r="H273" t="s">
        <v>25</v>
      </c>
      <c r="I273" t="s">
        <v>20</v>
      </c>
      <c r="J273" t="s">
        <v>18</v>
      </c>
    </row>
    <row r="274" spans="1:15">
      <c r="A274" t="s">
        <v>76</v>
      </c>
      <c r="B274">
        <f t="shared" si="16"/>
        <v>0.25316455696202528</v>
      </c>
      <c r="C274">
        <f t="shared" si="17"/>
        <v>1.582278481012658E-2</v>
      </c>
      <c r="D274">
        <v>-0.3</v>
      </c>
      <c r="E274" t="s">
        <v>81</v>
      </c>
      <c r="F274" t="s">
        <v>25</v>
      </c>
      <c r="G274" t="s">
        <v>22</v>
      </c>
      <c r="H274" t="s">
        <v>21</v>
      </c>
      <c r="I274" t="s">
        <v>24</v>
      </c>
      <c r="J274" t="s">
        <v>17</v>
      </c>
    </row>
    <row r="275" spans="1:15">
      <c r="A275" t="s">
        <v>77</v>
      </c>
      <c r="B275">
        <f>1/6.61</f>
        <v>0.15128593040847199</v>
      </c>
      <c r="C275">
        <f>1/16/6.61</f>
        <v>9.4553706505294995E-3</v>
      </c>
      <c r="D275">
        <v>1.7</v>
      </c>
      <c r="E275" t="s">
        <v>81</v>
      </c>
      <c r="F275" t="s">
        <v>24</v>
      </c>
      <c r="G275" t="s">
        <v>18</v>
      </c>
      <c r="H275" t="s">
        <v>25</v>
      </c>
      <c r="I275" t="s">
        <v>21</v>
      </c>
      <c r="J275" t="s">
        <v>20</v>
      </c>
      <c r="K275" t="s">
        <v>24</v>
      </c>
      <c r="L275" t="s">
        <v>18</v>
      </c>
      <c r="M275" t="s">
        <v>25</v>
      </c>
      <c r="N275" t="s">
        <v>21</v>
      </c>
      <c r="O275" t="s">
        <v>20</v>
      </c>
    </row>
    <row r="276" spans="1:15">
      <c r="A276" t="s">
        <v>77</v>
      </c>
      <c r="B276">
        <f t="shared" ref="B276:B295" si="18">1/6.61</f>
        <v>0.15128593040847199</v>
      </c>
      <c r="C276">
        <f t="shared" ref="C276:C295" si="19">1/16/6.61</f>
        <v>9.4553706505294995E-3</v>
      </c>
      <c r="D276">
        <v>1.6</v>
      </c>
      <c r="E276" t="s">
        <v>81</v>
      </c>
      <c r="F276" t="s">
        <v>18</v>
      </c>
      <c r="G276" t="s">
        <v>19</v>
      </c>
      <c r="H276" t="s">
        <v>22</v>
      </c>
      <c r="I276" t="s">
        <v>17</v>
      </c>
      <c r="J276" t="s">
        <v>26</v>
      </c>
      <c r="K276" t="s">
        <v>18</v>
      </c>
      <c r="L276" t="s">
        <v>19</v>
      </c>
      <c r="M276" t="s">
        <v>22</v>
      </c>
      <c r="N276" t="s">
        <v>17</v>
      </c>
      <c r="O276" t="s">
        <v>26</v>
      </c>
    </row>
    <row r="277" spans="1:15">
      <c r="A277" t="s">
        <v>77</v>
      </c>
      <c r="B277">
        <f t="shared" si="18"/>
        <v>0.15128593040847199</v>
      </c>
      <c r="C277">
        <f t="shared" si="19"/>
        <v>9.4553706505294995E-3</v>
      </c>
      <c r="D277">
        <v>1.5</v>
      </c>
      <c r="E277" t="s">
        <v>81</v>
      </c>
      <c r="F277" t="s">
        <v>20</v>
      </c>
      <c r="G277" t="s">
        <v>21</v>
      </c>
      <c r="H277" t="s">
        <v>22</v>
      </c>
      <c r="I277" t="s">
        <v>26</v>
      </c>
      <c r="J277" t="s">
        <v>18</v>
      </c>
      <c r="K277" t="s">
        <v>20</v>
      </c>
      <c r="L277" t="s">
        <v>21</v>
      </c>
      <c r="M277" t="s">
        <v>22</v>
      </c>
      <c r="N277" t="s">
        <v>26</v>
      </c>
      <c r="O277" t="s">
        <v>18</v>
      </c>
    </row>
    <row r="278" spans="1:15">
      <c r="A278" t="s">
        <v>77</v>
      </c>
      <c r="B278">
        <f t="shared" si="18"/>
        <v>0.15128593040847199</v>
      </c>
      <c r="C278">
        <f t="shared" si="19"/>
        <v>9.4553706505294995E-3</v>
      </c>
      <c r="D278">
        <v>1.4</v>
      </c>
      <c r="E278" t="s">
        <v>81</v>
      </c>
      <c r="F278" t="s">
        <v>25</v>
      </c>
      <c r="G278" t="s">
        <v>23</v>
      </c>
      <c r="H278" t="s">
        <v>19</v>
      </c>
      <c r="I278" t="s">
        <v>20</v>
      </c>
      <c r="J278" t="s">
        <v>17</v>
      </c>
    </row>
    <row r="279" spans="1:15">
      <c r="A279" t="s">
        <v>77</v>
      </c>
      <c r="B279">
        <f t="shared" si="18"/>
        <v>0.15128593040847199</v>
      </c>
      <c r="C279">
        <f t="shared" si="19"/>
        <v>9.4553706505294995E-3</v>
      </c>
      <c r="D279">
        <v>1.3</v>
      </c>
      <c r="E279" t="s">
        <v>81</v>
      </c>
      <c r="F279" t="s">
        <v>25</v>
      </c>
      <c r="G279" t="s">
        <v>19</v>
      </c>
      <c r="H279" t="s">
        <v>18</v>
      </c>
      <c r="I279" t="s">
        <v>20</v>
      </c>
      <c r="J279" t="s">
        <v>24</v>
      </c>
    </row>
    <row r="280" spans="1:15">
      <c r="A280" t="s">
        <v>77</v>
      </c>
      <c r="B280">
        <f t="shared" si="18"/>
        <v>0.15128593040847199</v>
      </c>
      <c r="C280">
        <f t="shared" si="19"/>
        <v>9.4553706505294995E-3</v>
      </c>
      <c r="D280">
        <v>1.2</v>
      </c>
      <c r="E280" t="s">
        <v>81</v>
      </c>
      <c r="F280" t="s">
        <v>25</v>
      </c>
      <c r="G280" t="s">
        <v>19</v>
      </c>
      <c r="H280" t="s">
        <v>21</v>
      </c>
      <c r="I280" t="s">
        <v>22</v>
      </c>
      <c r="J280" t="s">
        <v>18</v>
      </c>
    </row>
    <row r="281" spans="1:15">
      <c r="A281" t="s">
        <v>77</v>
      </c>
      <c r="B281">
        <f t="shared" si="18"/>
        <v>0.15128593040847199</v>
      </c>
      <c r="C281">
        <f t="shared" si="19"/>
        <v>9.4553706505294995E-3</v>
      </c>
      <c r="D281">
        <v>1.1000000000000001</v>
      </c>
      <c r="E281" t="s">
        <v>81</v>
      </c>
      <c r="F281" t="s">
        <v>21</v>
      </c>
      <c r="G281" t="s">
        <v>17</v>
      </c>
      <c r="H281" t="s">
        <v>22</v>
      </c>
      <c r="I281" t="s">
        <v>24</v>
      </c>
      <c r="J281" t="s">
        <v>19</v>
      </c>
    </row>
    <row r="282" spans="1:15">
      <c r="A282" t="s">
        <v>77</v>
      </c>
      <c r="B282">
        <f t="shared" si="18"/>
        <v>0.15128593040847199</v>
      </c>
      <c r="C282">
        <f t="shared" si="19"/>
        <v>9.4553706505294995E-3</v>
      </c>
      <c r="D282">
        <v>1</v>
      </c>
      <c r="E282" t="s">
        <v>81</v>
      </c>
      <c r="F282" t="s">
        <v>20</v>
      </c>
      <c r="G282" t="s">
        <v>21</v>
      </c>
      <c r="H282" t="s">
        <v>23</v>
      </c>
      <c r="I282" t="s">
        <v>26</v>
      </c>
      <c r="J282" t="s">
        <v>25</v>
      </c>
    </row>
    <row r="283" spans="1:15">
      <c r="A283" t="s">
        <v>77</v>
      </c>
      <c r="B283">
        <f t="shared" si="18"/>
        <v>0.15128593040847199</v>
      </c>
      <c r="C283">
        <f t="shared" si="19"/>
        <v>9.4553706505294995E-3</v>
      </c>
      <c r="D283">
        <v>0.90000000000000102</v>
      </c>
      <c r="E283" t="s">
        <v>81</v>
      </c>
      <c r="F283" t="s">
        <v>19</v>
      </c>
      <c r="G283" t="s">
        <v>24</v>
      </c>
      <c r="H283" t="s">
        <v>18</v>
      </c>
      <c r="I283" t="s">
        <v>22</v>
      </c>
      <c r="J283" t="s">
        <v>25</v>
      </c>
    </row>
    <row r="284" spans="1:15">
      <c r="A284" t="s">
        <v>77</v>
      </c>
      <c r="B284">
        <f t="shared" si="18"/>
        <v>0.15128593040847199</v>
      </c>
      <c r="C284">
        <f t="shared" si="19"/>
        <v>9.4553706505294995E-3</v>
      </c>
      <c r="D284">
        <v>0.80000000000000104</v>
      </c>
      <c r="E284" t="s">
        <v>81</v>
      </c>
      <c r="F284" t="s">
        <v>24</v>
      </c>
      <c r="G284" t="s">
        <v>19</v>
      </c>
      <c r="H284" t="s">
        <v>18</v>
      </c>
      <c r="I284" t="s">
        <v>22</v>
      </c>
      <c r="J284" t="s">
        <v>21</v>
      </c>
    </row>
    <row r="285" spans="1:15">
      <c r="A285" t="s">
        <v>77</v>
      </c>
      <c r="B285">
        <f t="shared" si="18"/>
        <v>0.15128593040847199</v>
      </c>
      <c r="C285">
        <f t="shared" si="19"/>
        <v>9.4553706505294995E-3</v>
      </c>
      <c r="D285">
        <v>0.70000000000000095</v>
      </c>
      <c r="E285" t="s">
        <v>81</v>
      </c>
      <c r="F285" t="s">
        <v>19</v>
      </c>
      <c r="G285" t="s">
        <v>20</v>
      </c>
      <c r="H285" t="s">
        <v>18</v>
      </c>
      <c r="I285" t="s">
        <v>25</v>
      </c>
      <c r="J285" t="s">
        <v>26</v>
      </c>
    </row>
    <row r="286" spans="1:15">
      <c r="A286" t="s">
        <v>77</v>
      </c>
      <c r="B286">
        <f t="shared" si="18"/>
        <v>0.15128593040847199</v>
      </c>
      <c r="C286">
        <f t="shared" si="19"/>
        <v>9.4553706505294995E-3</v>
      </c>
      <c r="D286">
        <v>0.6</v>
      </c>
      <c r="E286" t="s">
        <v>81</v>
      </c>
      <c r="F286" t="s">
        <v>23</v>
      </c>
      <c r="G286" t="s">
        <v>24</v>
      </c>
      <c r="H286" t="s">
        <v>25</v>
      </c>
      <c r="I286" t="s">
        <v>17</v>
      </c>
      <c r="J286" t="s">
        <v>21</v>
      </c>
    </row>
    <row r="287" spans="1:15">
      <c r="A287" t="s">
        <v>77</v>
      </c>
      <c r="B287">
        <f t="shared" si="18"/>
        <v>0.15128593040847199</v>
      </c>
      <c r="C287">
        <f t="shared" si="19"/>
        <v>9.4553706505294995E-3</v>
      </c>
      <c r="D287">
        <v>0.5</v>
      </c>
      <c r="E287" t="s">
        <v>81</v>
      </c>
      <c r="F287" t="s">
        <v>17</v>
      </c>
      <c r="G287" t="s">
        <v>22</v>
      </c>
      <c r="H287" t="s">
        <v>19</v>
      </c>
      <c r="I287" t="s">
        <v>20</v>
      </c>
      <c r="J287" t="s">
        <v>18</v>
      </c>
    </row>
    <row r="288" spans="1:15">
      <c r="A288" t="s">
        <v>77</v>
      </c>
      <c r="B288">
        <f t="shared" si="18"/>
        <v>0.15128593040847199</v>
      </c>
      <c r="C288">
        <f t="shared" si="19"/>
        <v>9.4553706505294995E-3</v>
      </c>
      <c r="D288">
        <v>0.4</v>
      </c>
      <c r="E288" t="s">
        <v>81</v>
      </c>
      <c r="F288" t="s">
        <v>24</v>
      </c>
      <c r="G288" t="s">
        <v>20</v>
      </c>
      <c r="H288" t="s">
        <v>17</v>
      </c>
      <c r="I288" t="s">
        <v>23</v>
      </c>
      <c r="J288" t="s">
        <v>18</v>
      </c>
    </row>
    <row r="289" spans="1:15">
      <c r="A289" t="s">
        <v>77</v>
      </c>
      <c r="B289">
        <f t="shared" si="18"/>
        <v>0.15128593040847199</v>
      </c>
      <c r="C289">
        <f t="shared" si="19"/>
        <v>9.4553706505294995E-3</v>
      </c>
      <c r="D289">
        <v>0.3</v>
      </c>
      <c r="E289" t="s">
        <v>81</v>
      </c>
      <c r="F289" t="s">
        <v>22</v>
      </c>
      <c r="G289" t="s">
        <v>21</v>
      </c>
      <c r="H289" t="s">
        <v>18</v>
      </c>
      <c r="I289" t="s">
        <v>20</v>
      </c>
      <c r="J289" t="s">
        <v>17</v>
      </c>
    </row>
    <row r="290" spans="1:15">
      <c r="A290" t="s">
        <v>77</v>
      </c>
      <c r="B290">
        <f t="shared" si="18"/>
        <v>0.15128593040847199</v>
      </c>
      <c r="C290">
        <f t="shared" si="19"/>
        <v>9.4553706505294995E-3</v>
      </c>
      <c r="D290">
        <v>0.2</v>
      </c>
      <c r="E290" t="s">
        <v>81</v>
      </c>
      <c r="F290" t="s">
        <v>18</v>
      </c>
      <c r="G290" t="s">
        <v>19</v>
      </c>
      <c r="H290" t="s">
        <v>17</v>
      </c>
      <c r="I290" t="s">
        <v>21</v>
      </c>
      <c r="J290" t="s">
        <v>20</v>
      </c>
    </row>
    <row r="291" spans="1:15">
      <c r="A291" t="s">
        <v>77</v>
      </c>
      <c r="B291">
        <f t="shared" si="18"/>
        <v>0.15128593040847199</v>
      </c>
      <c r="C291">
        <f t="shared" si="19"/>
        <v>9.4553706505294995E-3</v>
      </c>
      <c r="D291">
        <v>9.9999999999999895E-2</v>
      </c>
      <c r="E291" t="s">
        <v>81</v>
      </c>
      <c r="F291" t="s">
        <v>24</v>
      </c>
      <c r="G291" t="s">
        <v>17</v>
      </c>
      <c r="H291" t="s">
        <v>19</v>
      </c>
      <c r="I291" t="s">
        <v>23</v>
      </c>
      <c r="J291" t="s">
        <v>20</v>
      </c>
    </row>
    <row r="292" spans="1:15">
      <c r="A292" t="s">
        <v>77</v>
      </c>
      <c r="B292">
        <f t="shared" si="18"/>
        <v>0.15128593040847199</v>
      </c>
      <c r="C292">
        <f t="shared" si="19"/>
        <v>9.4553706505294995E-3</v>
      </c>
      <c r="D292">
        <v>0</v>
      </c>
      <c r="E292" t="s">
        <v>81</v>
      </c>
      <c r="F292" t="s">
        <v>18</v>
      </c>
      <c r="G292" t="s">
        <v>25</v>
      </c>
      <c r="H292" t="s">
        <v>23</v>
      </c>
      <c r="I292" t="s">
        <v>22</v>
      </c>
      <c r="J292" t="s">
        <v>21</v>
      </c>
    </row>
    <row r="293" spans="1:15">
      <c r="A293" t="s">
        <v>77</v>
      </c>
      <c r="B293">
        <f t="shared" si="18"/>
        <v>0.15128593040847199</v>
      </c>
      <c r="C293">
        <f t="shared" si="19"/>
        <v>9.4553706505294995E-3</v>
      </c>
      <c r="D293">
        <v>-0.1</v>
      </c>
      <c r="E293" t="s">
        <v>81</v>
      </c>
      <c r="F293" t="s">
        <v>23</v>
      </c>
      <c r="G293" t="s">
        <v>21</v>
      </c>
      <c r="H293" t="s">
        <v>20</v>
      </c>
      <c r="I293" t="s">
        <v>22</v>
      </c>
      <c r="J293" t="s">
        <v>19</v>
      </c>
    </row>
    <row r="294" spans="1:15">
      <c r="A294" t="s">
        <v>77</v>
      </c>
      <c r="B294">
        <f t="shared" si="18"/>
        <v>0.15128593040847199</v>
      </c>
      <c r="C294">
        <f t="shared" si="19"/>
        <v>9.4553706505294995E-3</v>
      </c>
      <c r="D294">
        <v>-0.2</v>
      </c>
      <c r="E294" t="s">
        <v>81</v>
      </c>
      <c r="F294" t="s">
        <v>18</v>
      </c>
      <c r="G294" t="s">
        <v>17</v>
      </c>
      <c r="H294" t="s">
        <v>26</v>
      </c>
      <c r="I294" t="s">
        <v>25</v>
      </c>
      <c r="J294" t="s">
        <v>24</v>
      </c>
    </row>
    <row r="295" spans="1:15">
      <c r="A295" t="s">
        <v>77</v>
      </c>
      <c r="B295">
        <f t="shared" si="18"/>
        <v>0.15128593040847199</v>
      </c>
      <c r="C295">
        <f t="shared" si="19"/>
        <v>9.4553706505294995E-3</v>
      </c>
      <c r="D295">
        <v>-0.3</v>
      </c>
      <c r="E295" t="s">
        <v>81</v>
      </c>
      <c r="F295" t="s">
        <v>22</v>
      </c>
      <c r="G295" t="s">
        <v>19</v>
      </c>
      <c r="H295" t="s">
        <v>17</v>
      </c>
      <c r="I295" t="s">
        <v>26</v>
      </c>
      <c r="J295" t="s">
        <v>20</v>
      </c>
    </row>
    <row r="296" spans="1:15">
      <c r="A296" t="s">
        <v>78</v>
      </c>
      <c r="B296">
        <f>1/10.68</f>
        <v>9.3632958801498134E-2</v>
      </c>
      <c r="C296">
        <f>1/16/10.68</f>
        <v>5.8520599250936334E-3</v>
      </c>
      <c r="D296">
        <v>1.7</v>
      </c>
      <c r="E296" t="s">
        <v>81</v>
      </c>
      <c r="F296" t="s">
        <v>26</v>
      </c>
      <c r="G296" t="s">
        <v>22</v>
      </c>
      <c r="H296" t="s">
        <v>21</v>
      </c>
      <c r="I296" t="s">
        <v>20</v>
      </c>
      <c r="J296" t="s">
        <v>19</v>
      </c>
      <c r="K296" t="s">
        <v>26</v>
      </c>
      <c r="L296" t="s">
        <v>22</v>
      </c>
      <c r="M296" t="s">
        <v>21</v>
      </c>
      <c r="N296" t="s">
        <v>20</v>
      </c>
      <c r="O296" t="s">
        <v>19</v>
      </c>
    </row>
    <row r="297" spans="1:15">
      <c r="A297" t="s">
        <v>78</v>
      </c>
      <c r="B297">
        <f t="shared" ref="B297:B316" si="20">1/10.68</f>
        <v>9.3632958801498134E-2</v>
      </c>
      <c r="C297">
        <f t="shared" ref="C297:C316" si="21">1/16/10.68</f>
        <v>5.8520599250936334E-3</v>
      </c>
      <c r="D297">
        <v>1.6</v>
      </c>
      <c r="E297" t="s">
        <v>81</v>
      </c>
      <c r="F297" t="s">
        <v>17</v>
      </c>
      <c r="G297" t="s">
        <v>26</v>
      </c>
      <c r="H297" t="s">
        <v>21</v>
      </c>
      <c r="I297" t="s">
        <v>25</v>
      </c>
      <c r="J297" t="s">
        <v>19</v>
      </c>
    </row>
    <row r="298" spans="1:15">
      <c r="A298" t="s">
        <v>78</v>
      </c>
      <c r="B298">
        <f t="shared" si="20"/>
        <v>9.3632958801498134E-2</v>
      </c>
      <c r="C298">
        <f t="shared" si="21"/>
        <v>5.8520599250936334E-3</v>
      </c>
      <c r="D298">
        <v>1.5</v>
      </c>
      <c r="E298" t="s">
        <v>81</v>
      </c>
      <c r="F298" t="s">
        <v>22</v>
      </c>
      <c r="G298" t="s">
        <v>19</v>
      </c>
      <c r="H298" t="s">
        <v>20</v>
      </c>
      <c r="I298" t="s">
        <v>18</v>
      </c>
      <c r="J298" t="s">
        <v>21</v>
      </c>
    </row>
    <row r="299" spans="1:15">
      <c r="A299" t="s">
        <v>78</v>
      </c>
      <c r="B299">
        <f t="shared" si="20"/>
        <v>9.3632958801498134E-2</v>
      </c>
      <c r="C299">
        <f t="shared" si="21"/>
        <v>5.8520599250936334E-3</v>
      </c>
      <c r="D299">
        <v>1.4</v>
      </c>
      <c r="E299" t="s">
        <v>81</v>
      </c>
      <c r="F299" t="s">
        <v>22</v>
      </c>
      <c r="G299" t="s">
        <v>26</v>
      </c>
      <c r="H299" t="s">
        <v>19</v>
      </c>
      <c r="I299" t="s">
        <v>25</v>
      </c>
      <c r="J299" t="s">
        <v>20</v>
      </c>
    </row>
    <row r="300" spans="1:15">
      <c r="A300" t="s">
        <v>78</v>
      </c>
      <c r="B300">
        <f t="shared" si="20"/>
        <v>9.3632958801498134E-2</v>
      </c>
      <c r="C300">
        <f t="shared" si="21"/>
        <v>5.8520599250936334E-3</v>
      </c>
      <c r="D300">
        <v>1.3</v>
      </c>
      <c r="E300" t="s">
        <v>81</v>
      </c>
      <c r="F300" t="s">
        <v>26</v>
      </c>
      <c r="G300" t="s">
        <v>22</v>
      </c>
      <c r="H300" t="s">
        <v>23</v>
      </c>
      <c r="I300" t="s">
        <v>21</v>
      </c>
      <c r="J300" t="s">
        <v>17</v>
      </c>
    </row>
    <row r="301" spans="1:15">
      <c r="A301" t="s">
        <v>78</v>
      </c>
      <c r="B301">
        <f t="shared" si="20"/>
        <v>9.3632958801498134E-2</v>
      </c>
      <c r="C301">
        <f t="shared" si="21"/>
        <v>5.8520599250936334E-3</v>
      </c>
      <c r="D301">
        <v>1.2</v>
      </c>
      <c r="E301" t="s">
        <v>81</v>
      </c>
      <c r="F301" t="s">
        <v>26</v>
      </c>
      <c r="G301" t="s">
        <v>24</v>
      </c>
      <c r="H301" t="s">
        <v>18</v>
      </c>
      <c r="I301" t="s">
        <v>23</v>
      </c>
      <c r="J301" t="s">
        <v>25</v>
      </c>
    </row>
    <row r="302" spans="1:15">
      <c r="A302" t="s">
        <v>78</v>
      </c>
      <c r="B302">
        <f t="shared" si="20"/>
        <v>9.3632958801498134E-2</v>
      </c>
      <c r="C302">
        <f t="shared" si="21"/>
        <v>5.8520599250936334E-3</v>
      </c>
      <c r="D302">
        <v>1.1000000000000001</v>
      </c>
      <c r="E302" t="s">
        <v>81</v>
      </c>
      <c r="F302" t="s">
        <v>24</v>
      </c>
      <c r="G302" t="s">
        <v>17</v>
      </c>
      <c r="H302" t="s">
        <v>23</v>
      </c>
      <c r="I302" t="s">
        <v>19</v>
      </c>
      <c r="J302" t="s">
        <v>18</v>
      </c>
    </row>
    <row r="303" spans="1:15">
      <c r="A303" t="s">
        <v>78</v>
      </c>
      <c r="B303">
        <f t="shared" si="20"/>
        <v>9.3632958801498134E-2</v>
      </c>
      <c r="C303">
        <f t="shared" si="21"/>
        <v>5.8520599250936334E-3</v>
      </c>
      <c r="D303">
        <v>1</v>
      </c>
      <c r="E303" t="s">
        <v>81</v>
      </c>
      <c r="F303" t="s">
        <v>22</v>
      </c>
      <c r="G303" t="s">
        <v>23</v>
      </c>
      <c r="H303" t="s">
        <v>17</v>
      </c>
      <c r="I303" t="s">
        <v>24</v>
      </c>
      <c r="J303" t="s">
        <v>19</v>
      </c>
    </row>
    <row r="304" spans="1:15">
      <c r="A304" t="s">
        <v>78</v>
      </c>
      <c r="B304">
        <f t="shared" si="20"/>
        <v>9.3632958801498134E-2</v>
      </c>
      <c r="C304">
        <f t="shared" si="21"/>
        <v>5.8520599250936334E-3</v>
      </c>
      <c r="D304">
        <v>0.90000000000000102</v>
      </c>
      <c r="E304" t="s">
        <v>81</v>
      </c>
      <c r="F304" t="s">
        <v>25</v>
      </c>
      <c r="G304" t="s">
        <v>17</v>
      </c>
      <c r="H304" t="s">
        <v>21</v>
      </c>
      <c r="I304" t="s">
        <v>18</v>
      </c>
      <c r="J304" t="s">
        <v>24</v>
      </c>
    </row>
    <row r="305" spans="1:10">
      <c r="A305" t="s">
        <v>78</v>
      </c>
      <c r="B305">
        <f t="shared" si="20"/>
        <v>9.3632958801498134E-2</v>
      </c>
      <c r="C305">
        <f t="shared" si="21"/>
        <v>5.8520599250936334E-3</v>
      </c>
      <c r="D305">
        <v>0.80000000000000104</v>
      </c>
      <c r="E305" t="s">
        <v>81</v>
      </c>
      <c r="F305" t="s">
        <v>24</v>
      </c>
      <c r="G305" t="s">
        <v>20</v>
      </c>
      <c r="H305" t="s">
        <v>23</v>
      </c>
      <c r="I305" t="s">
        <v>25</v>
      </c>
      <c r="J305" t="s">
        <v>26</v>
      </c>
    </row>
    <row r="306" spans="1:10">
      <c r="A306" t="s">
        <v>78</v>
      </c>
      <c r="B306">
        <f t="shared" si="20"/>
        <v>9.3632958801498134E-2</v>
      </c>
      <c r="C306">
        <f t="shared" si="21"/>
        <v>5.8520599250936334E-3</v>
      </c>
      <c r="D306">
        <v>0.70000000000000095</v>
      </c>
      <c r="E306" t="s">
        <v>81</v>
      </c>
      <c r="F306" t="s">
        <v>22</v>
      </c>
      <c r="G306" t="s">
        <v>20</v>
      </c>
      <c r="H306" t="s">
        <v>24</v>
      </c>
      <c r="I306" t="s">
        <v>23</v>
      </c>
      <c r="J306" t="s">
        <v>18</v>
      </c>
    </row>
    <row r="307" spans="1:10">
      <c r="A307" t="s">
        <v>78</v>
      </c>
      <c r="B307">
        <f t="shared" si="20"/>
        <v>9.3632958801498134E-2</v>
      </c>
      <c r="C307">
        <f t="shared" si="21"/>
        <v>5.8520599250936334E-3</v>
      </c>
      <c r="D307">
        <v>0.6</v>
      </c>
      <c r="E307" t="s">
        <v>81</v>
      </c>
      <c r="F307" t="s">
        <v>22</v>
      </c>
      <c r="G307" t="s">
        <v>24</v>
      </c>
      <c r="H307" t="s">
        <v>23</v>
      </c>
      <c r="I307" t="s">
        <v>17</v>
      </c>
      <c r="J307" t="s">
        <v>18</v>
      </c>
    </row>
    <row r="308" spans="1:10">
      <c r="A308" t="s">
        <v>78</v>
      </c>
      <c r="B308">
        <f t="shared" si="20"/>
        <v>9.3632958801498134E-2</v>
      </c>
      <c r="C308">
        <f t="shared" si="21"/>
        <v>5.8520599250936334E-3</v>
      </c>
      <c r="D308">
        <v>0.5</v>
      </c>
      <c r="E308" t="s">
        <v>81</v>
      </c>
      <c r="F308" t="s">
        <v>25</v>
      </c>
      <c r="G308" t="s">
        <v>24</v>
      </c>
      <c r="H308" t="s">
        <v>17</v>
      </c>
      <c r="I308" t="s">
        <v>20</v>
      </c>
      <c r="J308" t="s">
        <v>19</v>
      </c>
    </row>
    <row r="309" spans="1:10">
      <c r="A309" t="s">
        <v>78</v>
      </c>
      <c r="B309">
        <f t="shared" si="20"/>
        <v>9.3632958801498134E-2</v>
      </c>
      <c r="C309">
        <f t="shared" si="21"/>
        <v>5.8520599250936334E-3</v>
      </c>
      <c r="D309">
        <v>0.4</v>
      </c>
      <c r="E309" t="s">
        <v>81</v>
      </c>
      <c r="F309" t="s">
        <v>21</v>
      </c>
      <c r="G309" t="s">
        <v>25</v>
      </c>
      <c r="H309" t="s">
        <v>19</v>
      </c>
      <c r="I309" t="s">
        <v>22</v>
      </c>
      <c r="J309" t="s">
        <v>17</v>
      </c>
    </row>
    <row r="310" spans="1:10">
      <c r="A310" t="s">
        <v>78</v>
      </c>
      <c r="B310">
        <f t="shared" si="20"/>
        <v>9.3632958801498134E-2</v>
      </c>
      <c r="C310">
        <f t="shared" si="21"/>
        <v>5.8520599250936334E-3</v>
      </c>
      <c r="D310">
        <v>0.3</v>
      </c>
      <c r="E310" t="s">
        <v>81</v>
      </c>
      <c r="F310" t="s">
        <v>23</v>
      </c>
      <c r="G310" t="s">
        <v>24</v>
      </c>
      <c r="H310" t="s">
        <v>21</v>
      </c>
      <c r="I310" t="s">
        <v>17</v>
      </c>
      <c r="J310" t="s">
        <v>19</v>
      </c>
    </row>
    <row r="311" spans="1:10">
      <c r="A311" t="s">
        <v>78</v>
      </c>
      <c r="B311">
        <f t="shared" si="20"/>
        <v>9.3632958801498134E-2</v>
      </c>
      <c r="C311">
        <f t="shared" si="21"/>
        <v>5.8520599250936334E-3</v>
      </c>
      <c r="D311">
        <v>0.2</v>
      </c>
      <c r="E311" t="s">
        <v>81</v>
      </c>
      <c r="F311" t="s">
        <v>17</v>
      </c>
      <c r="G311" t="s">
        <v>18</v>
      </c>
      <c r="H311" t="s">
        <v>19</v>
      </c>
      <c r="I311" t="s">
        <v>22</v>
      </c>
      <c r="J311" t="s">
        <v>25</v>
      </c>
    </row>
    <row r="312" spans="1:10">
      <c r="A312" t="s">
        <v>78</v>
      </c>
      <c r="B312">
        <f t="shared" si="20"/>
        <v>9.3632958801498134E-2</v>
      </c>
      <c r="C312">
        <f t="shared" si="21"/>
        <v>5.8520599250936334E-3</v>
      </c>
      <c r="D312">
        <v>9.9999999999999895E-2</v>
      </c>
      <c r="E312" t="s">
        <v>81</v>
      </c>
      <c r="F312" t="s">
        <v>19</v>
      </c>
      <c r="G312" t="s">
        <v>23</v>
      </c>
      <c r="H312" t="s">
        <v>25</v>
      </c>
      <c r="I312" t="s">
        <v>17</v>
      </c>
      <c r="J312" t="s">
        <v>18</v>
      </c>
    </row>
    <row r="313" spans="1:10">
      <c r="A313" t="s">
        <v>78</v>
      </c>
      <c r="B313">
        <f t="shared" si="20"/>
        <v>9.3632958801498134E-2</v>
      </c>
      <c r="C313">
        <f t="shared" si="21"/>
        <v>5.8520599250936334E-3</v>
      </c>
      <c r="D313">
        <v>0</v>
      </c>
      <c r="E313" t="s">
        <v>81</v>
      </c>
      <c r="F313" t="s">
        <v>20</v>
      </c>
      <c r="G313" t="s">
        <v>25</v>
      </c>
      <c r="H313" t="s">
        <v>17</v>
      </c>
      <c r="I313" t="s">
        <v>22</v>
      </c>
      <c r="J313" t="s">
        <v>19</v>
      </c>
    </row>
    <row r="314" spans="1:10">
      <c r="A314" t="s">
        <v>78</v>
      </c>
      <c r="B314">
        <f t="shared" si="20"/>
        <v>9.3632958801498134E-2</v>
      </c>
      <c r="C314">
        <f t="shared" si="21"/>
        <v>5.8520599250936334E-3</v>
      </c>
      <c r="D314">
        <v>-0.1</v>
      </c>
      <c r="E314" t="s">
        <v>81</v>
      </c>
      <c r="F314" t="s">
        <v>25</v>
      </c>
      <c r="G314" t="s">
        <v>23</v>
      </c>
      <c r="H314" t="s">
        <v>26</v>
      </c>
      <c r="I314" t="s">
        <v>22</v>
      </c>
      <c r="J314" t="s">
        <v>18</v>
      </c>
    </row>
    <row r="315" spans="1:10">
      <c r="A315" t="s">
        <v>78</v>
      </c>
      <c r="B315">
        <f t="shared" si="20"/>
        <v>9.3632958801498134E-2</v>
      </c>
      <c r="C315">
        <f t="shared" si="21"/>
        <v>5.8520599250936334E-3</v>
      </c>
      <c r="D315">
        <v>-0.2</v>
      </c>
      <c r="E315" t="s">
        <v>81</v>
      </c>
      <c r="F315" t="s">
        <v>17</v>
      </c>
      <c r="G315" t="s">
        <v>21</v>
      </c>
      <c r="H315" t="s">
        <v>22</v>
      </c>
      <c r="I315" t="s">
        <v>18</v>
      </c>
      <c r="J315" t="s">
        <v>24</v>
      </c>
    </row>
    <row r="316" spans="1:10">
      <c r="A316" t="s">
        <v>78</v>
      </c>
      <c r="B316">
        <f t="shared" si="20"/>
        <v>9.3632958801498134E-2</v>
      </c>
      <c r="C316">
        <f t="shared" si="21"/>
        <v>5.8520599250936334E-3</v>
      </c>
      <c r="D316">
        <v>-0.3</v>
      </c>
      <c r="E316" t="s">
        <v>81</v>
      </c>
      <c r="F316" t="s">
        <v>20</v>
      </c>
      <c r="G316" t="s">
        <v>17</v>
      </c>
      <c r="H316" t="s">
        <v>19</v>
      </c>
      <c r="I316" t="s">
        <v>24</v>
      </c>
      <c r="J316" t="s">
        <v>25</v>
      </c>
    </row>
    <row r="317" spans="1:10">
      <c r="A317" t="s">
        <v>79</v>
      </c>
      <c r="B317">
        <f>1/16.62</f>
        <v>6.0168471720818288E-2</v>
      </c>
      <c r="C317">
        <f>1/16/16.62</f>
        <v>3.760529482551143E-3</v>
      </c>
      <c r="D317">
        <v>1.7</v>
      </c>
      <c r="E317" t="s">
        <v>81</v>
      </c>
      <c r="F317" t="s">
        <v>19</v>
      </c>
      <c r="G317" t="s">
        <v>24</v>
      </c>
      <c r="H317" t="s">
        <v>21</v>
      </c>
      <c r="I317" t="s">
        <v>22</v>
      </c>
      <c r="J317" t="s">
        <v>18</v>
      </c>
    </row>
    <row r="318" spans="1:10">
      <c r="A318" t="s">
        <v>79</v>
      </c>
      <c r="B318">
        <f t="shared" ref="B318:B337" si="22">1/16.62</f>
        <v>6.0168471720818288E-2</v>
      </c>
      <c r="C318">
        <f t="shared" ref="C318:C337" si="23">1/16/16.62</f>
        <v>3.760529482551143E-3</v>
      </c>
      <c r="D318">
        <v>1.6</v>
      </c>
      <c r="E318" t="s">
        <v>81</v>
      </c>
      <c r="F318" t="s">
        <v>21</v>
      </c>
      <c r="G318" t="s">
        <v>20</v>
      </c>
      <c r="H318" t="s">
        <v>22</v>
      </c>
      <c r="I318" t="s">
        <v>17</v>
      </c>
      <c r="J318" t="s">
        <v>18</v>
      </c>
    </row>
    <row r="319" spans="1:10">
      <c r="A319" t="s">
        <v>79</v>
      </c>
      <c r="B319">
        <f t="shared" si="22"/>
        <v>6.0168471720818288E-2</v>
      </c>
      <c r="C319">
        <f t="shared" si="23"/>
        <v>3.760529482551143E-3</v>
      </c>
      <c r="D319">
        <v>1.5</v>
      </c>
      <c r="E319" t="s">
        <v>81</v>
      </c>
      <c r="F319" t="s">
        <v>23</v>
      </c>
      <c r="G319" t="s">
        <v>24</v>
      </c>
      <c r="H319" t="s">
        <v>18</v>
      </c>
      <c r="I319" t="s">
        <v>21</v>
      </c>
      <c r="J319" t="s">
        <v>19</v>
      </c>
    </row>
    <row r="320" spans="1:10">
      <c r="A320" t="s">
        <v>79</v>
      </c>
      <c r="B320">
        <f t="shared" si="22"/>
        <v>6.0168471720818288E-2</v>
      </c>
      <c r="C320">
        <f t="shared" si="23"/>
        <v>3.760529482551143E-3</v>
      </c>
      <c r="D320">
        <v>1.4</v>
      </c>
      <c r="E320" t="s">
        <v>81</v>
      </c>
      <c r="F320" t="s">
        <v>25</v>
      </c>
      <c r="G320" t="s">
        <v>20</v>
      </c>
      <c r="H320" t="s">
        <v>26</v>
      </c>
      <c r="I320" t="s">
        <v>19</v>
      </c>
      <c r="J320" t="s">
        <v>18</v>
      </c>
    </row>
    <row r="321" spans="1:10">
      <c r="A321" t="s">
        <v>79</v>
      </c>
      <c r="B321">
        <f t="shared" si="22"/>
        <v>6.0168471720818288E-2</v>
      </c>
      <c r="C321">
        <f t="shared" si="23"/>
        <v>3.760529482551143E-3</v>
      </c>
      <c r="D321">
        <v>1.3</v>
      </c>
      <c r="E321" t="s">
        <v>81</v>
      </c>
      <c r="F321" t="s">
        <v>25</v>
      </c>
      <c r="G321" t="s">
        <v>19</v>
      </c>
      <c r="H321" t="s">
        <v>24</v>
      </c>
      <c r="I321" t="s">
        <v>26</v>
      </c>
      <c r="J321" t="s">
        <v>20</v>
      </c>
    </row>
    <row r="322" spans="1:10">
      <c r="A322" t="s">
        <v>79</v>
      </c>
      <c r="B322">
        <f t="shared" si="22"/>
        <v>6.0168471720818288E-2</v>
      </c>
      <c r="C322">
        <f t="shared" si="23"/>
        <v>3.760529482551143E-3</v>
      </c>
      <c r="D322">
        <v>1.2</v>
      </c>
      <c r="E322" t="s">
        <v>81</v>
      </c>
      <c r="F322" t="s">
        <v>23</v>
      </c>
      <c r="G322" t="s">
        <v>20</v>
      </c>
      <c r="H322" t="s">
        <v>17</v>
      </c>
      <c r="I322" t="s">
        <v>21</v>
      </c>
      <c r="J322" t="s">
        <v>19</v>
      </c>
    </row>
    <row r="323" spans="1:10">
      <c r="A323" t="s">
        <v>79</v>
      </c>
      <c r="B323">
        <f t="shared" si="22"/>
        <v>6.0168471720818288E-2</v>
      </c>
      <c r="C323">
        <f t="shared" si="23"/>
        <v>3.760529482551143E-3</v>
      </c>
      <c r="D323">
        <v>1.1000000000000001</v>
      </c>
      <c r="E323" t="s">
        <v>81</v>
      </c>
      <c r="F323" t="s">
        <v>25</v>
      </c>
      <c r="G323" t="s">
        <v>23</v>
      </c>
      <c r="H323" t="s">
        <v>17</v>
      </c>
      <c r="I323" t="s">
        <v>20</v>
      </c>
      <c r="J323" t="s">
        <v>18</v>
      </c>
    </row>
    <row r="324" spans="1:10">
      <c r="A324" t="s">
        <v>79</v>
      </c>
      <c r="B324">
        <f t="shared" si="22"/>
        <v>6.0168471720818288E-2</v>
      </c>
      <c r="C324">
        <f t="shared" si="23"/>
        <v>3.760529482551143E-3</v>
      </c>
      <c r="D324">
        <v>1</v>
      </c>
      <c r="E324" t="s">
        <v>81</v>
      </c>
      <c r="F324" t="s">
        <v>21</v>
      </c>
      <c r="G324" t="s">
        <v>18</v>
      </c>
      <c r="H324" t="s">
        <v>19</v>
      </c>
      <c r="I324" t="s">
        <v>20</v>
      </c>
      <c r="J324" t="s">
        <v>17</v>
      </c>
    </row>
    <row r="325" spans="1:10">
      <c r="A325" t="s">
        <v>79</v>
      </c>
      <c r="B325">
        <f t="shared" si="22"/>
        <v>6.0168471720818288E-2</v>
      </c>
      <c r="C325">
        <f t="shared" si="23"/>
        <v>3.760529482551143E-3</v>
      </c>
      <c r="D325">
        <v>0.90000000000000102</v>
      </c>
      <c r="E325" t="s">
        <v>81</v>
      </c>
      <c r="F325" t="s">
        <v>22</v>
      </c>
      <c r="G325" t="s">
        <v>23</v>
      </c>
      <c r="H325" t="s">
        <v>24</v>
      </c>
      <c r="I325" t="s">
        <v>25</v>
      </c>
      <c r="J325" t="s">
        <v>17</v>
      </c>
    </row>
    <row r="326" spans="1:10">
      <c r="A326" t="s">
        <v>79</v>
      </c>
      <c r="B326">
        <f t="shared" si="22"/>
        <v>6.0168471720818288E-2</v>
      </c>
      <c r="C326">
        <f t="shared" si="23"/>
        <v>3.760529482551143E-3</v>
      </c>
      <c r="D326">
        <v>0.80000000000000104</v>
      </c>
      <c r="E326" t="s">
        <v>81</v>
      </c>
      <c r="F326" t="s">
        <v>25</v>
      </c>
      <c r="G326" t="s">
        <v>19</v>
      </c>
      <c r="H326" t="s">
        <v>17</v>
      </c>
      <c r="I326" t="s">
        <v>21</v>
      </c>
      <c r="J326" t="s">
        <v>26</v>
      </c>
    </row>
    <row r="327" spans="1:10">
      <c r="A327" t="s">
        <v>79</v>
      </c>
      <c r="B327">
        <f t="shared" si="22"/>
        <v>6.0168471720818288E-2</v>
      </c>
      <c r="C327">
        <f t="shared" si="23"/>
        <v>3.760529482551143E-3</v>
      </c>
      <c r="D327">
        <v>0.70000000000000095</v>
      </c>
      <c r="E327" t="s">
        <v>81</v>
      </c>
      <c r="F327" t="s">
        <v>18</v>
      </c>
      <c r="G327" t="s">
        <v>25</v>
      </c>
      <c r="H327" t="s">
        <v>24</v>
      </c>
      <c r="I327" t="s">
        <v>23</v>
      </c>
      <c r="J327" t="s">
        <v>20</v>
      </c>
    </row>
    <row r="328" spans="1:10">
      <c r="A328" t="s">
        <v>79</v>
      </c>
      <c r="B328">
        <f t="shared" si="22"/>
        <v>6.0168471720818288E-2</v>
      </c>
      <c r="C328">
        <f t="shared" si="23"/>
        <v>3.760529482551143E-3</v>
      </c>
      <c r="D328">
        <v>0.6</v>
      </c>
      <c r="E328" t="s">
        <v>81</v>
      </c>
      <c r="F328" t="s">
        <v>19</v>
      </c>
      <c r="G328" t="s">
        <v>17</v>
      </c>
      <c r="H328" t="s">
        <v>21</v>
      </c>
      <c r="I328" t="s">
        <v>26</v>
      </c>
      <c r="J328" t="s">
        <v>25</v>
      </c>
    </row>
    <row r="329" spans="1:10">
      <c r="A329" t="s">
        <v>79</v>
      </c>
      <c r="B329">
        <f t="shared" si="22"/>
        <v>6.0168471720818288E-2</v>
      </c>
      <c r="C329">
        <f t="shared" si="23"/>
        <v>3.760529482551143E-3</v>
      </c>
      <c r="D329">
        <v>0.5</v>
      </c>
      <c r="E329" t="s">
        <v>81</v>
      </c>
      <c r="F329" t="s">
        <v>24</v>
      </c>
      <c r="G329" t="s">
        <v>19</v>
      </c>
      <c r="H329" t="s">
        <v>25</v>
      </c>
      <c r="I329" t="s">
        <v>23</v>
      </c>
      <c r="J329" t="s">
        <v>17</v>
      </c>
    </row>
    <row r="330" spans="1:10">
      <c r="A330" t="s">
        <v>79</v>
      </c>
      <c r="B330">
        <f t="shared" si="22"/>
        <v>6.0168471720818288E-2</v>
      </c>
      <c r="C330">
        <f t="shared" si="23"/>
        <v>3.760529482551143E-3</v>
      </c>
      <c r="D330">
        <v>0.4</v>
      </c>
      <c r="E330" t="s">
        <v>81</v>
      </c>
      <c r="F330" t="s">
        <v>22</v>
      </c>
      <c r="G330" t="s">
        <v>17</v>
      </c>
      <c r="H330" t="s">
        <v>21</v>
      </c>
      <c r="I330" t="s">
        <v>26</v>
      </c>
      <c r="J330" t="s">
        <v>18</v>
      </c>
    </row>
    <row r="331" spans="1:10">
      <c r="A331" t="s">
        <v>79</v>
      </c>
      <c r="B331">
        <f t="shared" si="22"/>
        <v>6.0168471720818288E-2</v>
      </c>
      <c r="C331">
        <f t="shared" si="23"/>
        <v>3.760529482551143E-3</v>
      </c>
      <c r="D331">
        <v>0.3</v>
      </c>
      <c r="E331" t="s">
        <v>81</v>
      </c>
      <c r="F331" t="s">
        <v>18</v>
      </c>
      <c r="G331" t="s">
        <v>21</v>
      </c>
      <c r="H331" t="s">
        <v>25</v>
      </c>
      <c r="I331" t="s">
        <v>20</v>
      </c>
      <c r="J331" t="s">
        <v>26</v>
      </c>
    </row>
    <row r="332" spans="1:10">
      <c r="A332" t="s">
        <v>79</v>
      </c>
      <c r="B332">
        <f t="shared" si="22"/>
        <v>6.0168471720818288E-2</v>
      </c>
      <c r="C332">
        <f t="shared" si="23"/>
        <v>3.760529482551143E-3</v>
      </c>
      <c r="D332">
        <v>0.2</v>
      </c>
      <c r="E332" t="s">
        <v>81</v>
      </c>
      <c r="F332" t="s">
        <v>25</v>
      </c>
      <c r="G332" t="s">
        <v>18</v>
      </c>
      <c r="H332" t="s">
        <v>20</v>
      </c>
      <c r="I332" t="s">
        <v>26</v>
      </c>
      <c r="J332" t="s">
        <v>17</v>
      </c>
    </row>
    <row r="333" spans="1:10">
      <c r="A333" t="s">
        <v>79</v>
      </c>
      <c r="B333">
        <f t="shared" si="22"/>
        <v>6.0168471720818288E-2</v>
      </c>
      <c r="C333">
        <f t="shared" si="23"/>
        <v>3.760529482551143E-3</v>
      </c>
      <c r="D333">
        <v>9.9999999999999895E-2</v>
      </c>
      <c r="E333" t="s">
        <v>81</v>
      </c>
      <c r="F333" t="s">
        <v>23</v>
      </c>
      <c r="G333" t="s">
        <v>25</v>
      </c>
      <c r="H333" t="s">
        <v>20</v>
      </c>
      <c r="I333" t="s">
        <v>26</v>
      </c>
      <c r="J333" t="s">
        <v>24</v>
      </c>
    </row>
    <row r="334" spans="1:10">
      <c r="A334" t="s">
        <v>79</v>
      </c>
      <c r="B334">
        <f t="shared" si="22"/>
        <v>6.0168471720818288E-2</v>
      </c>
      <c r="C334">
        <f t="shared" si="23"/>
        <v>3.760529482551143E-3</v>
      </c>
      <c r="D334">
        <v>0</v>
      </c>
      <c r="E334" t="s">
        <v>81</v>
      </c>
      <c r="F334" t="s">
        <v>19</v>
      </c>
      <c r="G334" t="s">
        <v>20</v>
      </c>
      <c r="H334" t="s">
        <v>21</v>
      </c>
      <c r="I334" t="s">
        <v>26</v>
      </c>
      <c r="J334" t="s">
        <v>24</v>
      </c>
    </row>
    <row r="335" spans="1:10">
      <c r="A335" t="s">
        <v>79</v>
      </c>
      <c r="B335">
        <f t="shared" si="22"/>
        <v>6.0168471720818288E-2</v>
      </c>
      <c r="C335">
        <f t="shared" si="23"/>
        <v>3.760529482551143E-3</v>
      </c>
      <c r="D335">
        <v>-0.1</v>
      </c>
      <c r="E335" t="s">
        <v>81</v>
      </c>
      <c r="F335" t="s">
        <v>26</v>
      </c>
      <c r="G335" t="s">
        <v>20</v>
      </c>
      <c r="H335" t="s">
        <v>25</v>
      </c>
      <c r="I335" t="s">
        <v>19</v>
      </c>
      <c r="J335" t="s">
        <v>17</v>
      </c>
    </row>
    <row r="336" spans="1:10">
      <c r="A336" t="s">
        <v>79</v>
      </c>
      <c r="B336">
        <f t="shared" si="22"/>
        <v>6.0168471720818288E-2</v>
      </c>
      <c r="C336">
        <f t="shared" si="23"/>
        <v>3.760529482551143E-3</v>
      </c>
      <c r="D336">
        <v>-0.2</v>
      </c>
      <c r="E336" t="s">
        <v>81</v>
      </c>
      <c r="F336" t="s">
        <v>24</v>
      </c>
      <c r="G336" t="s">
        <v>22</v>
      </c>
      <c r="H336" t="s">
        <v>17</v>
      </c>
      <c r="I336" t="s">
        <v>20</v>
      </c>
      <c r="J336" t="s">
        <v>23</v>
      </c>
    </row>
    <row r="337" spans="1:10">
      <c r="A337" t="s">
        <v>79</v>
      </c>
      <c r="B337">
        <f t="shared" si="22"/>
        <v>6.0168471720818288E-2</v>
      </c>
      <c r="C337">
        <f t="shared" si="23"/>
        <v>3.760529482551143E-3</v>
      </c>
      <c r="D337">
        <v>-0.3</v>
      </c>
      <c r="E337" t="s">
        <v>81</v>
      </c>
      <c r="F337" t="s">
        <v>25</v>
      </c>
      <c r="G337" t="s">
        <v>17</v>
      </c>
      <c r="H337" t="s">
        <v>24</v>
      </c>
      <c r="I337" t="s">
        <v>20</v>
      </c>
      <c r="J337" t="s">
        <v>23</v>
      </c>
    </row>
    <row r="1048262" spans="3:3">
      <c r="C1048262" s="1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E75D-3D6C-224E-9456-667493007D6D}">
  <dimension ref="A1:O1048262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63</v>
      </c>
      <c r="B2">
        <v>1</v>
      </c>
      <c r="C2">
        <v>1</v>
      </c>
      <c r="D2">
        <v>1.7</v>
      </c>
      <c r="E2" t="s">
        <v>82</v>
      </c>
      <c r="F2" s="2" t="s">
        <v>23</v>
      </c>
      <c r="G2" t="s">
        <v>18</v>
      </c>
      <c r="H2" t="s">
        <v>17</v>
      </c>
      <c r="I2" t="s">
        <v>24</v>
      </c>
      <c r="J2" t="s">
        <v>19</v>
      </c>
      <c r="K2" s="2" t="s">
        <v>23</v>
      </c>
      <c r="L2" t="s">
        <v>18</v>
      </c>
      <c r="M2" t="s">
        <v>17</v>
      </c>
      <c r="N2" t="s">
        <v>24</v>
      </c>
      <c r="O2" t="s">
        <v>19</v>
      </c>
    </row>
    <row r="3" spans="1:15">
      <c r="A3" t="s">
        <v>63</v>
      </c>
      <c r="B3">
        <v>1</v>
      </c>
      <c r="C3">
        <v>1</v>
      </c>
      <c r="D3">
        <v>1.6</v>
      </c>
      <c r="E3" t="s">
        <v>82</v>
      </c>
      <c r="F3" s="2" t="s">
        <v>17</v>
      </c>
      <c r="G3" t="s">
        <v>26</v>
      </c>
      <c r="H3" t="s">
        <v>21</v>
      </c>
      <c r="I3" t="s">
        <v>25</v>
      </c>
      <c r="J3" t="s">
        <v>22</v>
      </c>
      <c r="K3" s="2" t="s">
        <v>17</v>
      </c>
      <c r="L3" t="s">
        <v>26</v>
      </c>
      <c r="M3" t="s">
        <v>21</v>
      </c>
      <c r="N3" t="s">
        <v>25</v>
      </c>
      <c r="O3" t="s">
        <v>22</v>
      </c>
    </row>
    <row r="4" spans="1:15">
      <c r="A4" t="s">
        <v>63</v>
      </c>
      <c r="B4">
        <v>1</v>
      </c>
      <c r="C4">
        <v>1</v>
      </c>
      <c r="D4">
        <v>1.5</v>
      </c>
      <c r="E4" t="s">
        <v>82</v>
      </c>
      <c r="F4" s="2" t="s">
        <v>19</v>
      </c>
      <c r="G4" t="s">
        <v>21</v>
      </c>
      <c r="H4" t="s">
        <v>22</v>
      </c>
      <c r="I4" t="s">
        <v>18</v>
      </c>
      <c r="J4" t="s">
        <v>25</v>
      </c>
      <c r="K4" s="2" t="s">
        <v>19</v>
      </c>
      <c r="L4" t="s">
        <v>21</v>
      </c>
      <c r="M4" t="s">
        <v>22</v>
      </c>
      <c r="N4" t="s">
        <v>18</v>
      </c>
      <c r="O4" t="s">
        <v>25</v>
      </c>
    </row>
    <row r="5" spans="1:15">
      <c r="A5" t="s">
        <v>63</v>
      </c>
      <c r="B5">
        <v>1</v>
      </c>
      <c r="C5">
        <v>1</v>
      </c>
      <c r="D5">
        <v>1.4</v>
      </c>
      <c r="E5" t="s">
        <v>82</v>
      </c>
      <c r="F5" s="2" t="s">
        <v>23</v>
      </c>
      <c r="G5" t="s">
        <v>22</v>
      </c>
      <c r="H5" t="s">
        <v>24</v>
      </c>
      <c r="I5" t="s">
        <v>17</v>
      </c>
      <c r="J5" t="s">
        <v>18</v>
      </c>
      <c r="K5" s="2" t="s">
        <v>23</v>
      </c>
      <c r="L5" t="s">
        <v>22</v>
      </c>
      <c r="M5" t="s">
        <v>24</v>
      </c>
      <c r="N5" t="s">
        <v>17</v>
      </c>
      <c r="O5" t="s">
        <v>18</v>
      </c>
    </row>
    <row r="6" spans="1:15">
      <c r="A6" t="s">
        <v>63</v>
      </c>
      <c r="B6">
        <v>1</v>
      </c>
      <c r="C6">
        <v>1</v>
      </c>
      <c r="D6">
        <v>1.3</v>
      </c>
      <c r="E6" t="s">
        <v>82</v>
      </c>
      <c r="F6" s="2" t="s">
        <v>24</v>
      </c>
      <c r="G6" t="s">
        <v>23</v>
      </c>
      <c r="H6" t="s">
        <v>20</v>
      </c>
      <c r="I6" t="s">
        <v>19</v>
      </c>
      <c r="J6" t="s">
        <v>18</v>
      </c>
      <c r="K6" s="2" t="s">
        <v>24</v>
      </c>
      <c r="L6" t="s">
        <v>23</v>
      </c>
      <c r="M6" t="s">
        <v>20</v>
      </c>
      <c r="N6" t="s">
        <v>19</v>
      </c>
      <c r="O6" t="s">
        <v>18</v>
      </c>
    </row>
    <row r="7" spans="1:15">
      <c r="A7" t="s">
        <v>63</v>
      </c>
      <c r="B7">
        <v>1</v>
      </c>
      <c r="C7">
        <v>1</v>
      </c>
      <c r="D7">
        <v>1.2</v>
      </c>
      <c r="E7" t="s">
        <v>82</v>
      </c>
      <c r="F7" s="2" t="s">
        <v>20</v>
      </c>
      <c r="G7" t="s">
        <v>26</v>
      </c>
      <c r="H7" t="s">
        <v>25</v>
      </c>
      <c r="I7" t="s">
        <v>17</v>
      </c>
      <c r="J7" t="s">
        <v>19</v>
      </c>
      <c r="K7" s="2" t="s">
        <v>20</v>
      </c>
      <c r="L7" t="s">
        <v>26</v>
      </c>
      <c r="M7" t="s">
        <v>25</v>
      </c>
      <c r="N7" t="s">
        <v>17</v>
      </c>
      <c r="O7" t="s">
        <v>19</v>
      </c>
    </row>
    <row r="8" spans="1:15">
      <c r="A8" t="s">
        <v>63</v>
      </c>
      <c r="B8">
        <v>1</v>
      </c>
      <c r="C8">
        <v>1</v>
      </c>
      <c r="D8">
        <v>1.1000000000000001</v>
      </c>
      <c r="E8" t="s">
        <v>82</v>
      </c>
      <c r="F8" s="2" t="s">
        <v>23</v>
      </c>
      <c r="G8" t="s">
        <v>22</v>
      </c>
      <c r="H8" t="s">
        <v>17</v>
      </c>
      <c r="I8" t="s">
        <v>19</v>
      </c>
      <c r="J8" t="s">
        <v>26</v>
      </c>
      <c r="K8" s="2" t="s">
        <v>23</v>
      </c>
      <c r="L8" t="s">
        <v>22</v>
      </c>
      <c r="M8" t="s">
        <v>17</v>
      </c>
      <c r="N8" t="s">
        <v>19</v>
      </c>
      <c r="O8" t="s">
        <v>26</v>
      </c>
    </row>
    <row r="9" spans="1:15">
      <c r="A9" t="s">
        <v>63</v>
      </c>
      <c r="B9">
        <v>1</v>
      </c>
      <c r="C9">
        <v>1</v>
      </c>
      <c r="D9">
        <v>1</v>
      </c>
      <c r="E9" t="s">
        <v>82</v>
      </c>
      <c r="F9" s="2" t="s">
        <v>18</v>
      </c>
      <c r="G9" t="s">
        <v>24</v>
      </c>
      <c r="H9" t="s">
        <v>25</v>
      </c>
      <c r="I9" t="s">
        <v>21</v>
      </c>
      <c r="J9" t="s">
        <v>23</v>
      </c>
      <c r="K9" s="2" t="s">
        <v>18</v>
      </c>
      <c r="L9" t="s">
        <v>24</v>
      </c>
      <c r="M9" t="s">
        <v>25</v>
      </c>
      <c r="N9" t="s">
        <v>21</v>
      </c>
      <c r="O9" t="s">
        <v>23</v>
      </c>
    </row>
    <row r="10" spans="1:15">
      <c r="A10" t="s">
        <v>63</v>
      </c>
      <c r="B10">
        <v>1</v>
      </c>
      <c r="C10">
        <v>1</v>
      </c>
      <c r="D10">
        <v>0.90000000000000102</v>
      </c>
      <c r="E10" t="s">
        <v>82</v>
      </c>
      <c r="F10" s="2" t="s">
        <v>17</v>
      </c>
      <c r="G10" t="s">
        <v>19</v>
      </c>
      <c r="H10" t="s">
        <v>26</v>
      </c>
      <c r="I10" t="s">
        <v>24</v>
      </c>
      <c r="J10" t="s">
        <v>25</v>
      </c>
      <c r="K10" s="2" t="s">
        <v>17</v>
      </c>
      <c r="L10" t="s">
        <v>19</v>
      </c>
      <c r="M10" t="s">
        <v>26</v>
      </c>
      <c r="N10" t="s">
        <v>24</v>
      </c>
      <c r="O10" t="s">
        <v>25</v>
      </c>
    </row>
    <row r="11" spans="1:15">
      <c r="A11" t="s">
        <v>63</v>
      </c>
      <c r="B11">
        <v>1</v>
      </c>
      <c r="C11">
        <v>1</v>
      </c>
      <c r="D11">
        <v>0.80000000000000104</v>
      </c>
      <c r="E11" t="s">
        <v>82</v>
      </c>
      <c r="F11" s="2" t="s">
        <v>18</v>
      </c>
      <c r="G11" t="s">
        <v>17</v>
      </c>
      <c r="H11" t="s">
        <v>26</v>
      </c>
      <c r="I11" t="s">
        <v>22</v>
      </c>
      <c r="J11" t="s">
        <v>19</v>
      </c>
      <c r="K11" s="2" t="s">
        <v>18</v>
      </c>
      <c r="L11" t="s">
        <v>17</v>
      </c>
      <c r="M11" t="s">
        <v>26</v>
      </c>
      <c r="N11" t="s">
        <v>22</v>
      </c>
      <c r="O11" t="s">
        <v>19</v>
      </c>
    </row>
    <row r="12" spans="1:15">
      <c r="A12" t="s">
        <v>63</v>
      </c>
      <c r="B12">
        <v>1</v>
      </c>
      <c r="C12">
        <v>1</v>
      </c>
      <c r="D12">
        <v>0.70000000000000095</v>
      </c>
      <c r="E12" t="s">
        <v>82</v>
      </c>
      <c r="F12" s="2" t="s">
        <v>17</v>
      </c>
      <c r="G12" t="s">
        <v>26</v>
      </c>
      <c r="H12" t="s">
        <v>24</v>
      </c>
      <c r="I12" t="s">
        <v>18</v>
      </c>
      <c r="J12" t="s">
        <v>23</v>
      </c>
      <c r="K12" s="2" t="s">
        <v>17</v>
      </c>
      <c r="L12" t="s">
        <v>26</v>
      </c>
      <c r="M12" t="s">
        <v>24</v>
      </c>
      <c r="N12" t="s">
        <v>18</v>
      </c>
      <c r="O12" t="s">
        <v>23</v>
      </c>
    </row>
    <row r="13" spans="1:15">
      <c r="A13" t="s">
        <v>63</v>
      </c>
      <c r="B13">
        <v>1</v>
      </c>
      <c r="C13">
        <v>1</v>
      </c>
      <c r="D13">
        <v>0.6</v>
      </c>
      <c r="E13" t="s">
        <v>82</v>
      </c>
      <c r="F13" s="2" t="s">
        <v>21</v>
      </c>
      <c r="G13" t="s">
        <v>26</v>
      </c>
      <c r="H13" t="s">
        <v>18</v>
      </c>
      <c r="I13" t="s">
        <v>19</v>
      </c>
      <c r="J13" t="s">
        <v>24</v>
      </c>
      <c r="K13" s="2" t="s">
        <v>21</v>
      </c>
      <c r="L13" t="s">
        <v>26</v>
      </c>
      <c r="M13" t="s">
        <v>18</v>
      </c>
      <c r="N13" t="s">
        <v>19</v>
      </c>
      <c r="O13" t="s">
        <v>24</v>
      </c>
    </row>
    <row r="14" spans="1:15">
      <c r="A14" t="s">
        <v>63</v>
      </c>
      <c r="B14">
        <v>1</v>
      </c>
      <c r="C14">
        <v>1</v>
      </c>
      <c r="D14">
        <v>0.5</v>
      </c>
      <c r="E14" t="s">
        <v>82</v>
      </c>
      <c r="F14" s="2" t="s">
        <v>17</v>
      </c>
      <c r="G14" t="s">
        <v>18</v>
      </c>
      <c r="H14" t="s">
        <v>25</v>
      </c>
      <c r="I14" t="s">
        <v>22</v>
      </c>
      <c r="J14" t="s">
        <v>19</v>
      </c>
      <c r="K14" s="2" t="s">
        <v>17</v>
      </c>
      <c r="L14" t="s">
        <v>18</v>
      </c>
      <c r="M14" t="s">
        <v>25</v>
      </c>
      <c r="N14" t="s">
        <v>22</v>
      </c>
      <c r="O14" t="s">
        <v>19</v>
      </c>
    </row>
    <row r="15" spans="1:15">
      <c r="A15" t="s">
        <v>63</v>
      </c>
      <c r="B15">
        <v>1</v>
      </c>
      <c r="C15">
        <v>1</v>
      </c>
      <c r="D15">
        <v>0.4</v>
      </c>
      <c r="E15" t="s">
        <v>82</v>
      </c>
      <c r="F15" s="2" t="s">
        <v>20</v>
      </c>
      <c r="G15" t="s">
        <v>18</v>
      </c>
      <c r="H15" t="s">
        <v>26</v>
      </c>
      <c r="I15" t="s">
        <v>22</v>
      </c>
      <c r="J15" t="s">
        <v>21</v>
      </c>
      <c r="K15" s="2" t="s">
        <v>20</v>
      </c>
      <c r="L15" t="s">
        <v>18</v>
      </c>
      <c r="M15" t="s">
        <v>26</v>
      </c>
      <c r="N15" t="s">
        <v>22</v>
      </c>
      <c r="O15" t="s">
        <v>21</v>
      </c>
    </row>
    <row r="16" spans="1:15">
      <c r="A16" t="s">
        <v>63</v>
      </c>
      <c r="B16">
        <v>1</v>
      </c>
      <c r="C16">
        <v>1</v>
      </c>
      <c r="D16">
        <v>0.3</v>
      </c>
      <c r="E16" t="s">
        <v>82</v>
      </c>
      <c r="F16" s="2" t="s">
        <v>21</v>
      </c>
      <c r="G16" t="s">
        <v>23</v>
      </c>
      <c r="H16" t="s">
        <v>25</v>
      </c>
      <c r="I16" t="s">
        <v>20</v>
      </c>
      <c r="J16" t="s">
        <v>19</v>
      </c>
      <c r="K16" s="2" t="s">
        <v>21</v>
      </c>
      <c r="L16" t="s">
        <v>23</v>
      </c>
      <c r="M16" t="s">
        <v>25</v>
      </c>
      <c r="N16" t="s">
        <v>20</v>
      </c>
      <c r="O16" t="s">
        <v>19</v>
      </c>
    </row>
    <row r="17" spans="1:15">
      <c r="A17" t="s">
        <v>63</v>
      </c>
      <c r="B17">
        <v>1</v>
      </c>
      <c r="C17">
        <v>1</v>
      </c>
      <c r="D17">
        <v>0.2</v>
      </c>
      <c r="E17" t="s">
        <v>82</v>
      </c>
      <c r="F17" s="2" t="s">
        <v>25</v>
      </c>
      <c r="G17" t="s">
        <v>19</v>
      </c>
      <c r="H17" t="s">
        <v>23</v>
      </c>
      <c r="I17" t="s">
        <v>21</v>
      </c>
      <c r="J17" t="s">
        <v>20</v>
      </c>
      <c r="K17" s="2" t="s">
        <v>25</v>
      </c>
      <c r="L17" t="s">
        <v>19</v>
      </c>
      <c r="M17" t="s">
        <v>23</v>
      </c>
      <c r="N17" t="s">
        <v>21</v>
      </c>
      <c r="O17" t="s">
        <v>20</v>
      </c>
    </row>
    <row r="18" spans="1:15">
      <c r="A18" t="s">
        <v>63</v>
      </c>
      <c r="B18">
        <v>1</v>
      </c>
      <c r="C18">
        <v>1</v>
      </c>
      <c r="D18">
        <v>9.9999999999999895E-2</v>
      </c>
      <c r="E18" t="s">
        <v>82</v>
      </c>
      <c r="F18" s="2" t="s">
        <v>18</v>
      </c>
      <c r="G18" t="s">
        <v>23</v>
      </c>
      <c r="H18" t="s">
        <v>19</v>
      </c>
      <c r="I18" t="s">
        <v>22</v>
      </c>
      <c r="J18" t="s">
        <v>17</v>
      </c>
      <c r="K18" s="2" t="s">
        <v>18</v>
      </c>
      <c r="L18" t="s">
        <v>23</v>
      </c>
      <c r="M18" t="s">
        <v>19</v>
      </c>
      <c r="N18" t="s">
        <v>22</v>
      </c>
      <c r="O18" t="s">
        <v>17</v>
      </c>
    </row>
    <row r="19" spans="1:15">
      <c r="A19" t="s">
        <v>63</v>
      </c>
      <c r="B19">
        <v>1</v>
      </c>
      <c r="C19">
        <v>1</v>
      </c>
      <c r="D19">
        <v>0</v>
      </c>
      <c r="E19" t="s">
        <v>82</v>
      </c>
      <c r="F19" s="2" t="s">
        <v>22</v>
      </c>
      <c r="G19" t="s">
        <v>26</v>
      </c>
      <c r="H19" t="s">
        <v>24</v>
      </c>
      <c r="I19" t="s">
        <v>25</v>
      </c>
      <c r="J19" t="s">
        <v>23</v>
      </c>
      <c r="K19" s="2" t="s">
        <v>22</v>
      </c>
      <c r="L19" t="s">
        <v>26</v>
      </c>
      <c r="N19" t="s">
        <v>25</v>
      </c>
      <c r="O19" t="s">
        <v>23</v>
      </c>
    </row>
    <row r="20" spans="1:15">
      <c r="A20" t="s">
        <v>63</v>
      </c>
      <c r="B20">
        <v>1</v>
      </c>
      <c r="C20">
        <v>1</v>
      </c>
      <c r="D20">
        <v>-0.1</v>
      </c>
      <c r="E20" t="s">
        <v>82</v>
      </c>
      <c r="F20" s="2" t="s">
        <v>17</v>
      </c>
      <c r="G20" t="s">
        <v>26</v>
      </c>
      <c r="H20" t="s">
        <v>22</v>
      </c>
      <c r="I20" t="s">
        <v>20</v>
      </c>
      <c r="J20" t="s">
        <v>23</v>
      </c>
      <c r="K20" s="2"/>
      <c r="L20" t="s">
        <v>26</v>
      </c>
      <c r="M20" t="s">
        <v>22</v>
      </c>
      <c r="N20" t="s">
        <v>20</v>
      </c>
      <c r="O20" t="s">
        <v>23</v>
      </c>
    </row>
    <row r="21" spans="1:15">
      <c r="A21" t="s">
        <v>63</v>
      </c>
      <c r="B21">
        <v>1</v>
      </c>
      <c r="C21">
        <v>1</v>
      </c>
      <c r="D21">
        <v>-0.2</v>
      </c>
      <c r="E21" t="s">
        <v>82</v>
      </c>
      <c r="F21" s="2" t="s">
        <v>18</v>
      </c>
      <c r="G21" t="s">
        <v>22</v>
      </c>
      <c r="H21" t="s">
        <v>19</v>
      </c>
      <c r="I21" t="s">
        <v>26</v>
      </c>
      <c r="J21" t="s">
        <v>17</v>
      </c>
      <c r="K21" s="2" t="s">
        <v>18</v>
      </c>
      <c r="L21" t="s">
        <v>22</v>
      </c>
      <c r="M21" t="s">
        <v>19</v>
      </c>
      <c r="N21" t="s">
        <v>26</v>
      </c>
    </row>
    <row r="22" spans="1:15">
      <c r="A22" t="s">
        <v>63</v>
      </c>
      <c r="B22">
        <v>1</v>
      </c>
      <c r="C22">
        <v>1</v>
      </c>
      <c r="D22">
        <v>-0.3</v>
      </c>
      <c r="E22" t="s">
        <v>82</v>
      </c>
      <c r="F22" s="2" t="s">
        <v>26</v>
      </c>
      <c r="G22" t="s">
        <v>19</v>
      </c>
      <c r="H22" t="s">
        <v>21</v>
      </c>
      <c r="I22" t="s">
        <v>25</v>
      </c>
      <c r="J22" t="s">
        <v>22</v>
      </c>
    </row>
    <row r="23" spans="1:15">
      <c r="A23" t="s">
        <v>65</v>
      </c>
      <c r="B23">
        <f>1/3.48</f>
        <v>0.28735632183908044</v>
      </c>
      <c r="C23">
        <f>1/3.48</f>
        <v>0.28735632183908044</v>
      </c>
      <c r="D23">
        <v>1.7</v>
      </c>
      <c r="E23" t="s">
        <v>82</v>
      </c>
      <c r="F23" s="2" t="s">
        <v>26</v>
      </c>
      <c r="G23" t="s">
        <v>18</v>
      </c>
      <c r="H23" t="s">
        <v>20</v>
      </c>
      <c r="I23" t="s">
        <v>22</v>
      </c>
      <c r="J23" t="s">
        <v>19</v>
      </c>
      <c r="K23" s="2" t="s">
        <v>26</v>
      </c>
      <c r="L23" t="s">
        <v>18</v>
      </c>
      <c r="M23" t="s">
        <v>20</v>
      </c>
      <c r="N23" t="s">
        <v>22</v>
      </c>
      <c r="O23" t="s">
        <v>19</v>
      </c>
    </row>
    <row r="24" spans="1:15">
      <c r="A24" t="s">
        <v>65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82</v>
      </c>
      <c r="F24" s="2" t="s">
        <v>19</v>
      </c>
      <c r="G24" t="s">
        <v>24</v>
      </c>
      <c r="H24" t="s">
        <v>26</v>
      </c>
      <c r="I24" t="s">
        <v>23</v>
      </c>
      <c r="J24" t="s">
        <v>17</v>
      </c>
      <c r="K24" s="2" t="s">
        <v>19</v>
      </c>
      <c r="L24" t="s">
        <v>24</v>
      </c>
      <c r="M24" t="s">
        <v>26</v>
      </c>
      <c r="N24" t="s">
        <v>23</v>
      </c>
      <c r="O24" t="s">
        <v>17</v>
      </c>
    </row>
    <row r="25" spans="1:15">
      <c r="A25" t="s">
        <v>65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82</v>
      </c>
      <c r="F25" s="2" t="s">
        <v>17</v>
      </c>
      <c r="G25" t="s">
        <v>19</v>
      </c>
      <c r="H25" t="s">
        <v>23</v>
      </c>
      <c r="I25" t="s">
        <v>24</v>
      </c>
      <c r="J25" t="s">
        <v>21</v>
      </c>
      <c r="K25" s="2" t="s">
        <v>17</v>
      </c>
      <c r="L25" t="s">
        <v>19</v>
      </c>
      <c r="M25" t="s">
        <v>23</v>
      </c>
      <c r="N25" t="s">
        <v>24</v>
      </c>
      <c r="O25" t="s">
        <v>21</v>
      </c>
    </row>
    <row r="26" spans="1:15">
      <c r="A26" t="s">
        <v>65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82</v>
      </c>
      <c r="F26" s="2" t="s">
        <v>20</v>
      </c>
      <c r="G26" t="s">
        <v>17</v>
      </c>
      <c r="H26" t="s">
        <v>19</v>
      </c>
      <c r="I26" t="s">
        <v>26</v>
      </c>
      <c r="J26" t="s">
        <v>21</v>
      </c>
      <c r="K26" s="2" t="s">
        <v>20</v>
      </c>
      <c r="L26" t="s">
        <v>17</v>
      </c>
      <c r="M26" t="s">
        <v>19</v>
      </c>
      <c r="N26" t="s">
        <v>26</v>
      </c>
      <c r="O26" t="s">
        <v>21</v>
      </c>
    </row>
    <row r="27" spans="1:15">
      <c r="A27" t="s">
        <v>65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82</v>
      </c>
      <c r="F27" s="2" t="s">
        <v>18</v>
      </c>
      <c r="G27" t="s">
        <v>23</v>
      </c>
      <c r="H27" t="s">
        <v>20</v>
      </c>
      <c r="I27" t="s">
        <v>26</v>
      </c>
      <c r="J27" t="s">
        <v>22</v>
      </c>
      <c r="K27" s="2" t="s">
        <v>18</v>
      </c>
      <c r="L27" t="s">
        <v>23</v>
      </c>
      <c r="M27" t="s">
        <v>20</v>
      </c>
      <c r="N27" t="s">
        <v>26</v>
      </c>
      <c r="O27" t="s">
        <v>22</v>
      </c>
    </row>
    <row r="28" spans="1:15">
      <c r="A28" t="s">
        <v>65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82</v>
      </c>
      <c r="F28" s="2" t="s">
        <v>26</v>
      </c>
      <c r="G28" t="s">
        <v>19</v>
      </c>
      <c r="H28" t="s">
        <v>24</v>
      </c>
      <c r="I28" t="s">
        <v>23</v>
      </c>
      <c r="J28" t="s">
        <v>17</v>
      </c>
      <c r="K28" s="2" t="s">
        <v>26</v>
      </c>
      <c r="L28" t="s">
        <v>19</v>
      </c>
      <c r="M28" t="s">
        <v>24</v>
      </c>
      <c r="N28" t="s">
        <v>23</v>
      </c>
      <c r="O28" t="s">
        <v>17</v>
      </c>
    </row>
    <row r="29" spans="1:15">
      <c r="A29" t="s">
        <v>65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82</v>
      </c>
      <c r="F29" s="2" t="s">
        <v>18</v>
      </c>
      <c r="G29" t="s">
        <v>26</v>
      </c>
      <c r="H29" t="s">
        <v>19</v>
      </c>
      <c r="I29" t="s">
        <v>25</v>
      </c>
      <c r="J29" t="s">
        <v>20</v>
      </c>
      <c r="K29" s="2" t="s">
        <v>18</v>
      </c>
      <c r="L29" t="s">
        <v>26</v>
      </c>
      <c r="M29" t="s">
        <v>19</v>
      </c>
      <c r="N29" t="s">
        <v>25</v>
      </c>
      <c r="O29" t="s">
        <v>20</v>
      </c>
    </row>
    <row r="30" spans="1:15">
      <c r="A30" t="s">
        <v>65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82</v>
      </c>
      <c r="F30" s="2" t="s">
        <v>24</v>
      </c>
      <c r="G30" t="s">
        <v>18</v>
      </c>
      <c r="H30" t="s">
        <v>25</v>
      </c>
      <c r="I30" t="s">
        <v>23</v>
      </c>
      <c r="J30" t="s">
        <v>17</v>
      </c>
      <c r="K30" s="2" t="s">
        <v>24</v>
      </c>
      <c r="L30" t="s">
        <v>18</v>
      </c>
      <c r="M30" t="s">
        <v>25</v>
      </c>
      <c r="N30" t="s">
        <v>23</v>
      </c>
      <c r="O30" t="s">
        <v>17</v>
      </c>
    </row>
    <row r="31" spans="1:15">
      <c r="A31" t="s">
        <v>65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82</v>
      </c>
      <c r="F31" s="2" t="s">
        <v>20</v>
      </c>
      <c r="G31" t="s">
        <v>19</v>
      </c>
      <c r="H31" t="s">
        <v>24</v>
      </c>
      <c r="I31" t="s">
        <v>23</v>
      </c>
      <c r="J31" t="s">
        <v>22</v>
      </c>
      <c r="K31" s="2" t="s">
        <v>20</v>
      </c>
      <c r="L31" t="s">
        <v>19</v>
      </c>
      <c r="M31" t="s">
        <v>24</v>
      </c>
      <c r="N31" t="s">
        <v>23</v>
      </c>
      <c r="O31" t="s">
        <v>22</v>
      </c>
    </row>
    <row r="32" spans="1:15">
      <c r="A32" t="s">
        <v>65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82</v>
      </c>
      <c r="F32" s="2" t="s">
        <v>26</v>
      </c>
      <c r="G32" t="s">
        <v>23</v>
      </c>
      <c r="H32" t="s">
        <v>17</v>
      </c>
      <c r="I32" t="s">
        <v>20</v>
      </c>
      <c r="J32" t="s">
        <v>24</v>
      </c>
      <c r="K32" s="2" t="s">
        <v>26</v>
      </c>
      <c r="L32" t="s">
        <v>23</v>
      </c>
      <c r="M32" t="s">
        <v>17</v>
      </c>
      <c r="N32" t="s">
        <v>20</v>
      </c>
      <c r="O32" t="s">
        <v>24</v>
      </c>
    </row>
    <row r="33" spans="1:15">
      <c r="A33" t="s">
        <v>65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82</v>
      </c>
      <c r="F33" s="2" t="s">
        <v>26</v>
      </c>
      <c r="G33" t="s">
        <v>18</v>
      </c>
      <c r="H33" t="s">
        <v>23</v>
      </c>
      <c r="I33" t="s">
        <v>17</v>
      </c>
      <c r="J33" t="s">
        <v>24</v>
      </c>
      <c r="K33" s="2" t="s">
        <v>26</v>
      </c>
      <c r="L33" t="s">
        <v>18</v>
      </c>
      <c r="M33" t="s">
        <v>23</v>
      </c>
      <c r="N33" t="s">
        <v>17</v>
      </c>
      <c r="O33" t="s">
        <v>24</v>
      </c>
    </row>
    <row r="34" spans="1:15">
      <c r="A34" t="s">
        <v>65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82</v>
      </c>
      <c r="F34" s="2" t="s">
        <v>19</v>
      </c>
      <c r="G34" t="s">
        <v>17</v>
      </c>
      <c r="H34" t="s">
        <v>22</v>
      </c>
      <c r="I34" t="s">
        <v>21</v>
      </c>
      <c r="J34" t="s">
        <v>23</v>
      </c>
      <c r="K34" s="2" t="s">
        <v>19</v>
      </c>
      <c r="L34" t="s">
        <v>17</v>
      </c>
      <c r="M34" t="s">
        <v>22</v>
      </c>
      <c r="N34" t="s">
        <v>21</v>
      </c>
      <c r="O34" t="s">
        <v>23</v>
      </c>
    </row>
    <row r="35" spans="1:15">
      <c r="A35" t="s">
        <v>65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82</v>
      </c>
      <c r="F35" s="2" t="s">
        <v>21</v>
      </c>
      <c r="G35" t="s">
        <v>24</v>
      </c>
      <c r="H35" t="s">
        <v>19</v>
      </c>
      <c r="I35" t="s">
        <v>23</v>
      </c>
      <c r="J35" t="s">
        <v>20</v>
      </c>
      <c r="K35" s="2" t="s">
        <v>21</v>
      </c>
      <c r="L35" t="s">
        <v>24</v>
      </c>
      <c r="M35" t="s">
        <v>19</v>
      </c>
      <c r="N35" t="s">
        <v>23</v>
      </c>
      <c r="O35" t="s">
        <v>20</v>
      </c>
    </row>
    <row r="36" spans="1:15">
      <c r="A36" t="s">
        <v>65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82</v>
      </c>
      <c r="F36" s="2" t="s">
        <v>23</v>
      </c>
      <c r="G36" t="s">
        <v>24</v>
      </c>
      <c r="H36" t="s">
        <v>21</v>
      </c>
      <c r="I36" t="s">
        <v>17</v>
      </c>
      <c r="J36" t="s">
        <v>25</v>
      </c>
      <c r="K36" s="2" t="s">
        <v>23</v>
      </c>
      <c r="L36" t="s">
        <v>24</v>
      </c>
      <c r="M36" t="s">
        <v>21</v>
      </c>
      <c r="N36" t="s">
        <v>17</v>
      </c>
      <c r="O36" t="s">
        <v>25</v>
      </c>
    </row>
    <row r="37" spans="1:15">
      <c r="A37" t="s">
        <v>65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82</v>
      </c>
      <c r="F37" s="2" t="s">
        <v>25</v>
      </c>
      <c r="G37" t="s">
        <v>17</v>
      </c>
      <c r="H37" t="s">
        <v>18</v>
      </c>
      <c r="I37" t="s">
        <v>22</v>
      </c>
      <c r="J37" t="s">
        <v>23</v>
      </c>
      <c r="K37" s="2" t="s">
        <v>25</v>
      </c>
      <c r="L37" t="s">
        <v>17</v>
      </c>
      <c r="M37" t="s">
        <v>18</v>
      </c>
      <c r="N37" t="s">
        <v>22</v>
      </c>
      <c r="O37" t="s">
        <v>23</v>
      </c>
    </row>
    <row r="38" spans="1:15">
      <c r="A38" t="s">
        <v>65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82</v>
      </c>
      <c r="F38" s="2" t="s">
        <v>26</v>
      </c>
      <c r="G38" t="s">
        <v>18</v>
      </c>
      <c r="H38" t="s">
        <v>25</v>
      </c>
      <c r="I38" t="s">
        <v>23</v>
      </c>
      <c r="J38" t="s">
        <v>17</v>
      </c>
      <c r="K38" s="2" t="s">
        <v>26</v>
      </c>
    </row>
    <row r="39" spans="1:15">
      <c r="A39" t="s">
        <v>65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82</v>
      </c>
      <c r="F39" s="2" t="s">
        <v>18</v>
      </c>
      <c r="G39" t="s">
        <v>22</v>
      </c>
      <c r="H39" t="s">
        <v>21</v>
      </c>
      <c r="I39" t="s">
        <v>19</v>
      </c>
      <c r="J39" t="s">
        <v>25</v>
      </c>
      <c r="K39" s="2"/>
    </row>
    <row r="40" spans="1:15">
      <c r="A40" t="s">
        <v>65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82</v>
      </c>
      <c r="F40" s="2" t="s">
        <v>23</v>
      </c>
      <c r="G40" t="s">
        <v>20</v>
      </c>
      <c r="H40" t="s">
        <v>25</v>
      </c>
      <c r="I40" t="s">
        <v>22</v>
      </c>
      <c r="J40" t="s">
        <v>21</v>
      </c>
    </row>
    <row r="41" spans="1:15">
      <c r="A41" t="s">
        <v>65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82</v>
      </c>
      <c r="F41" s="2" t="s">
        <v>17</v>
      </c>
      <c r="G41" t="s">
        <v>20</v>
      </c>
      <c r="H41" t="s">
        <v>19</v>
      </c>
      <c r="I41" t="s">
        <v>22</v>
      </c>
      <c r="J41" t="s">
        <v>23</v>
      </c>
    </row>
    <row r="42" spans="1:15">
      <c r="A42" t="s">
        <v>65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82</v>
      </c>
      <c r="F42" s="2" t="s">
        <v>26</v>
      </c>
      <c r="G42" t="s">
        <v>18</v>
      </c>
      <c r="H42" t="s">
        <v>25</v>
      </c>
      <c r="I42" t="s">
        <v>24</v>
      </c>
      <c r="J42" t="s">
        <v>23</v>
      </c>
    </row>
    <row r="43" spans="1:15">
      <c r="A43" t="s">
        <v>65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82</v>
      </c>
      <c r="F43" s="2" t="s">
        <v>19</v>
      </c>
      <c r="G43" t="s">
        <v>23</v>
      </c>
      <c r="H43" t="s">
        <v>21</v>
      </c>
      <c r="I43" t="s">
        <v>18</v>
      </c>
      <c r="J43" t="s">
        <v>20</v>
      </c>
    </row>
    <row r="44" spans="1:15">
      <c r="A44" t="s">
        <v>66</v>
      </c>
      <c r="B44">
        <f>1/6.4</f>
        <v>0.15625</v>
      </c>
      <c r="C44">
        <f>1/6.4</f>
        <v>0.15625</v>
      </c>
      <c r="D44">
        <v>1.7</v>
      </c>
      <c r="E44" t="s">
        <v>82</v>
      </c>
      <c r="F44" s="2" t="s">
        <v>25</v>
      </c>
      <c r="G44" t="s">
        <v>18</v>
      </c>
      <c r="H44" t="s">
        <v>17</v>
      </c>
      <c r="I44" t="s">
        <v>21</v>
      </c>
      <c r="J44" t="s">
        <v>22</v>
      </c>
      <c r="K44" s="2" t="s">
        <v>25</v>
      </c>
      <c r="L44" t="s">
        <v>18</v>
      </c>
      <c r="M44" t="s">
        <v>17</v>
      </c>
      <c r="N44" t="s">
        <v>21</v>
      </c>
      <c r="O44" t="s">
        <v>22</v>
      </c>
    </row>
    <row r="45" spans="1:15">
      <c r="A45" t="s">
        <v>66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82</v>
      </c>
      <c r="F45" s="2" t="s">
        <v>23</v>
      </c>
      <c r="G45" t="s">
        <v>20</v>
      </c>
      <c r="H45" t="s">
        <v>25</v>
      </c>
      <c r="I45" t="s">
        <v>19</v>
      </c>
      <c r="J45" t="s">
        <v>21</v>
      </c>
      <c r="K45" s="2" t="s">
        <v>23</v>
      </c>
      <c r="L45" t="s">
        <v>20</v>
      </c>
      <c r="M45" t="s">
        <v>25</v>
      </c>
      <c r="N45" t="s">
        <v>19</v>
      </c>
      <c r="O45" t="s">
        <v>21</v>
      </c>
    </row>
    <row r="46" spans="1:15">
      <c r="A46" t="s">
        <v>66</v>
      </c>
      <c r="B46">
        <f t="shared" si="1"/>
        <v>0.15625</v>
      </c>
      <c r="C46">
        <f t="shared" si="1"/>
        <v>0.15625</v>
      </c>
      <c r="D46">
        <v>1.5</v>
      </c>
      <c r="E46" t="s">
        <v>82</v>
      </c>
      <c r="F46" s="2" t="s">
        <v>19</v>
      </c>
      <c r="G46" t="s">
        <v>20</v>
      </c>
      <c r="H46" t="s">
        <v>22</v>
      </c>
      <c r="I46" t="s">
        <v>25</v>
      </c>
      <c r="J46" t="s">
        <v>23</v>
      </c>
      <c r="K46" s="2" t="s">
        <v>19</v>
      </c>
      <c r="L46" t="s">
        <v>20</v>
      </c>
      <c r="M46" t="s">
        <v>22</v>
      </c>
      <c r="N46" t="s">
        <v>25</v>
      </c>
      <c r="O46" t="s">
        <v>23</v>
      </c>
    </row>
    <row r="47" spans="1:15">
      <c r="A47" t="s">
        <v>66</v>
      </c>
      <c r="B47">
        <f t="shared" si="1"/>
        <v>0.15625</v>
      </c>
      <c r="C47">
        <f t="shared" si="1"/>
        <v>0.15625</v>
      </c>
      <c r="D47">
        <v>1.4</v>
      </c>
      <c r="E47" t="s">
        <v>82</v>
      </c>
      <c r="F47" s="2" t="s">
        <v>25</v>
      </c>
      <c r="G47" t="s">
        <v>17</v>
      </c>
      <c r="H47" t="s">
        <v>26</v>
      </c>
      <c r="I47" t="s">
        <v>21</v>
      </c>
      <c r="J47" t="s">
        <v>22</v>
      </c>
      <c r="K47" s="2" t="s">
        <v>25</v>
      </c>
      <c r="L47" t="s">
        <v>17</v>
      </c>
      <c r="M47" t="s">
        <v>26</v>
      </c>
      <c r="N47" t="s">
        <v>21</v>
      </c>
      <c r="O47" t="s">
        <v>22</v>
      </c>
    </row>
    <row r="48" spans="1:15">
      <c r="A48" t="s">
        <v>66</v>
      </c>
      <c r="B48">
        <f t="shared" si="1"/>
        <v>0.15625</v>
      </c>
      <c r="C48">
        <f t="shared" si="1"/>
        <v>0.15625</v>
      </c>
      <c r="D48">
        <v>1.3</v>
      </c>
      <c r="E48" t="s">
        <v>82</v>
      </c>
      <c r="F48" s="2" t="s">
        <v>18</v>
      </c>
      <c r="G48" t="s">
        <v>21</v>
      </c>
      <c r="H48" t="s">
        <v>23</v>
      </c>
      <c r="I48" t="s">
        <v>19</v>
      </c>
      <c r="J48" t="s">
        <v>24</v>
      </c>
      <c r="K48" s="2" t="s">
        <v>18</v>
      </c>
      <c r="L48" t="s">
        <v>21</v>
      </c>
      <c r="M48" t="s">
        <v>23</v>
      </c>
      <c r="N48" t="s">
        <v>19</v>
      </c>
      <c r="O48" t="s">
        <v>24</v>
      </c>
    </row>
    <row r="49" spans="1:15">
      <c r="A49" t="s">
        <v>66</v>
      </c>
      <c r="B49">
        <f t="shared" si="1"/>
        <v>0.15625</v>
      </c>
      <c r="C49">
        <f t="shared" si="1"/>
        <v>0.15625</v>
      </c>
      <c r="D49">
        <v>1.2</v>
      </c>
      <c r="E49" t="s">
        <v>82</v>
      </c>
      <c r="F49" s="2" t="s">
        <v>20</v>
      </c>
      <c r="G49" t="s">
        <v>17</v>
      </c>
      <c r="H49" t="s">
        <v>25</v>
      </c>
      <c r="I49" t="s">
        <v>19</v>
      </c>
      <c r="J49" t="s">
        <v>23</v>
      </c>
      <c r="K49" s="2" t="s">
        <v>20</v>
      </c>
      <c r="L49" t="s">
        <v>17</v>
      </c>
      <c r="M49" t="s">
        <v>25</v>
      </c>
      <c r="N49" t="s">
        <v>19</v>
      </c>
      <c r="O49" t="s">
        <v>23</v>
      </c>
    </row>
    <row r="50" spans="1:15">
      <c r="A50" t="s">
        <v>66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82</v>
      </c>
      <c r="F50" s="2" t="s">
        <v>23</v>
      </c>
      <c r="G50" t="s">
        <v>26</v>
      </c>
      <c r="H50" t="s">
        <v>24</v>
      </c>
      <c r="I50" t="s">
        <v>25</v>
      </c>
      <c r="J50" t="s">
        <v>18</v>
      </c>
      <c r="K50" s="2" t="s">
        <v>23</v>
      </c>
      <c r="L50" t="s">
        <v>26</v>
      </c>
      <c r="M50" t="s">
        <v>24</v>
      </c>
      <c r="N50" t="s">
        <v>25</v>
      </c>
      <c r="O50" t="s">
        <v>18</v>
      </c>
    </row>
    <row r="51" spans="1:15">
      <c r="A51" t="s">
        <v>66</v>
      </c>
      <c r="B51">
        <f t="shared" si="1"/>
        <v>0.15625</v>
      </c>
      <c r="C51">
        <f t="shared" si="1"/>
        <v>0.15625</v>
      </c>
      <c r="D51">
        <v>1</v>
      </c>
      <c r="E51" t="s">
        <v>82</v>
      </c>
      <c r="F51" s="2" t="s">
        <v>23</v>
      </c>
      <c r="G51" t="s">
        <v>17</v>
      </c>
      <c r="H51" t="s">
        <v>19</v>
      </c>
      <c r="I51" t="s">
        <v>26</v>
      </c>
      <c r="J51" t="s">
        <v>18</v>
      </c>
      <c r="K51" s="2" t="s">
        <v>23</v>
      </c>
      <c r="L51" t="s">
        <v>17</v>
      </c>
      <c r="M51" t="s">
        <v>19</v>
      </c>
      <c r="N51" t="s">
        <v>26</v>
      </c>
      <c r="O51" t="s">
        <v>18</v>
      </c>
    </row>
    <row r="52" spans="1:15">
      <c r="A52" t="s">
        <v>66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82</v>
      </c>
      <c r="F52" s="2" t="s">
        <v>23</v>
      </c>
      <c r="G52" t="s">
        <v>22</v>
      </c>
      <c r="H52" t="s">
        <v>20</v>
      </c>
      <c r="I52" t="s">
        <v>26</v>
      </c>
      <c r="J52" t="s">
        <v>19</v>
      </c>
      <c r="K52" s="2" t="s">
        <v>23</v>
      </c>
      <c r="L52" t="s">
        <v>22</v>
      </c>
      <c r="M52" t="s">
        <v>20</v>
      </c>
      <c r="N52" t="s">
        <v>26</v>
      </c>
      <c r="O52" t="s">
        <v>19</v>
      </c>
    </row>
    <row r="53" spans="1:15">
      <c r="A53" t="s">
        <v>66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82</v>
      </c>
      <c r="F53" s="2" t="s">
        <v>24</v>
      </c>
      <c r="G53" t="s">
        <v>23</v>
      </c>
      <c r="H53" t="s">
        <v>26</v>
      </c>
      <c r="I53" t="s">
        <v>18</v>
      </c>
      <c r="J53" t="s">
        <v>20</v>
      </c>
      <c r="K53" s="2" t="s">
        <v>24</v>
      </c>
      <c r="L53" t="s">
        <v>23</v>
      </c>
      <c r="M53" t="s">
        <v>26</v>
      </c>
      <c r="N53" t="s">
        <v>18</v>
      </c>
      <c r="O53" t="s">
        <v>20</v>
      </c>
    </row>
    <row r="54" spans="1:15">
      <c r="A54" t="s">
        <v>66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82</v>
      </c>
      <c r="F54" s="2" t="s">
        <v>17</v>
      </c>
      <c r="G54" t="s">
        <v>24</v>
      </c>
      <c r="H54" t="s">
        <v>18</v>
      </c>
      <c r="I54" t="s">
        <v>19</v>
      </c>
      <c r="J54" t="s">
        <v>26</v>
      </c>
      <c r="K54" s="2" t="s">
        <v>17</v>
      </c>
      <c r="L54" t="s">
        <v>24</v>
      </c>
      <c r="N54" t="s">
        <v>19</v>
      </c>
      <c r="O54" t="s">
        <v>26</v>
      </c>
    </row>
    <row r="55" spans="1:15">
      <c r="A55" t="s">
        <v>66</v>
      </c>
      <c r="B55">
        <f t="shared" si="1"/>
        <v>0.15625</v>
      </c>
      <c r="C55">
        <f t="shared" si="1"/>
        <v>0.15625</v>
      </c>
      <c r="D55">
        <v>0.6</v>
      </c>
      <c r="E55" t="s">
        <v>82</v>
      </c>
      <c r="F55" s="2" t="s">
        <v>24</v>
      </c>
      <c r="G55" t="s">
        <v>26</v>
      </c>
      <c r="H55" t="s">
        <v>25</v>
      </c>
      <c r="I55" t="s">
        <v>20</v>
      </c>
      <c r="J55" t="s">
        <v>19</v>
      </c>
      <c r="K55" s="2"/>
    </row>
    <row r="56" spans="1:15">
      <c r="A56" t="s">
        <v>66</v>
      </c>
      <c r="B56">
        <f t="shared" si="1"/>
        <v>0.15625</v>
      </c>
      <c r="C56">
        <f t="shared" si="1"/>
        <v>0.15625</v>
      </c>
      <c r="D56">
        <v>0.5</v>
      </c>
      <c r="E56" t="s">
        <v>82</v>
      </c>
      <c r="F56" s="2" t="s">
        <v>22</v>
      </c>
      <c r="G56" t="s">
        <v>18</v>
      </c>
      <c r="H56" t="s">
        <v>24</v>
      </c>
      <c r="I56" t="s">
        <v>25</v>
      </c>
      <c r="J56" t="s">
        <v>26</v>
      </c>
    </row>
    <row r="57" spans="1:15">
      <c r="A57" t="s">
        <v>66</v>
      </c>
      <c r="B57">
        <f t="shared" si="1"/>
        <v>0.15625</v>
      </c>
      <c r="C57">
        <f t="shared" si="1"/>
        <v>0.15625</v>
      </c>
      <c r="D57">
        <v>0.4</v>
      </c>
      <c r="E57" t="s">
        <v>82</v>
      </c>
      <c r="F57" s="2" t="s">
        <v>20</v>
      </c>
      <c r="G57" t="s">
        <v>17</v>
      </c>
      <c r="H57" t="s">
        <v>18</v>
      </c>
      <c r="I57" t="s">
        <v>19</v>
      </c>
      <c r="J57" t="s">
        <v>26</v>
      </c>
    </row>
    <row r="58" spans="1:15">
      <c r="A58" t="s">
        <v>66</v>
      </c>
      <c r="B58">
        <f t="shared" si="1"/>
        <v>0.15625</v>
      </c>
      <c r="C58">
        <f t="shared" si="1"/>
        <v>0.15625</v>
      </c>
      <c r="D58">
        <v>0.3</v>
      </c>
      <c r="E58" t="s">
        <v>82</v>
      </c>
      <c r="F58" s="2" t="s">
        <v>23</v>
      </c>
      <c r="G58" t="s">
        <v>25</v>
      </c>
      <c r="H58" t="s">
        <v>17</v>
      </c>
      <c r="I58" t="s">
        <v>22</v>
      </c>
      <c r="J58" t="s">
        <v>21</v>
      </c>
    </row>
    <row r="59" spans="1:15">
      <c r="A59" t="s">
        <v>66</v>
      </c>
      <c r="B59">
        <f t="shared" si="1"/>
        <v>0.15625</v>
      </c>
      <c r="C59">
        <f t="shared" si="1"/>
        <v>0.15625</v>
      </c>
      <c r="D59">
        <v>0.2</v>
      </c>
      <c r="E59" t="s">
        <v>82</v>
      </c>
      <c r="F59" s="2" t="s">
        <v>19</v>
      </c>
      <c r="G59" t="s">
        <v>22</v>
      </c>
      <c r="H59" t="s">
        <v>20</v>
      </c>
      <c r="I59" t="s">
        <v>21</v>
      </c>
      <c r="J59" t="s">
        <v>26</v>
      </c>
    </row>
    <row r="60" spans="1:15">
      <c r="A60" t="s">
        <v>66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82</v>
      </c>
      <c r="F60" s="2" t="s">
        <v>21</v>
      </c>
      <c r="G60" t="s">
        <v>23</v>
      </c>
      <c r="H60" t="s">
        <v>25</v>
      </c>
      <c r="I60" t="s">
        <v>19</v>
      </c>
      <c r="J60" t="s">
        <v>17</v>
      </c>
    </row>
    <row r="61" spans="1:15">
      <c r="A61" t="s">
        <v>66</v>
      </c>
      <c r="B61">
        <f t="shared" si="1"/>
        <v>0.15625</v>
      </c>
      <c r="C61">
        <f t="shared" si="1"/>
        <v>0.15625</v>
      </c>
      <c r="D61">
        <v>0</v>
      </c>
      <c r="E61" t="s">
        <v>82</v>
      </c>
      <c r="F61" s="2" t="s">
        <v>26</v>
      </c>
      <c r="G61" t="s">
        <v>24</v>
      </c>
      <c r="H61" t="s">
        <v>23</v>
      </c>
      <c r="I61" t="s">
        <v>21</v>
      </c>
      <c r="J61" t="s">
        <v>22</v>
      </c>
    </row>
    <row r="62" spans="1:15">
      <c r="A62" t="s">
        <v>66</v>
      </c>
      <c r="B62">
        <f t="shared" si="1"/>
        <v>0.15625</v>
      </c>
      <c r="C62">
        <f t="shared" si="1"/>
        <v>0.15625</v>
      </c>
      <c r="D62">
        <v>-0.1</v>
      </c>
      <c r="E62" t="s">
        <v>82</v>
      </c>
      <c r="F62" s="2" t="s">
        <v>19</v>
      </c>
      <c r="G62" t="s">
        <v>22</v>
      </c>
      <c r="H62" t="s">
        <v>23</v>
      </c>
      <c r="I62" t="s">
        <v>18</v>
      </c>
      <c r="J62" t="s">
        <v>26</v>
      </c>
    </row>
    <row r="63" spans="1:15">
      <c r="A63" t="s">
        <v>66</v>
      </c>
      <c r="B63">
        <f t="shared" si="1"/>
        <v>0.15625</v>
      </c>
      <c r="C63">
        <f t="shared" si="1"/>
        <v>0.15625</v>
      </c>
      <c r="D63">
        <v>-0.2</v>
      </c>
      <c r="E63" t="s">
        <v>82</v>
      </c>
      <c r="F63" s="2" t="s">
        <v>26</v>
      </c>
      <c r="G63" t="s">
        <v>23</v>
      </c>
      <c r="H63" t="s">
        <v>20</v>
      </c>
      <c r="I63" t="s">
        <v>25</v>
      </c>
      <c r="J63" t="s">
        <v>17</v>
      </c>
    </row>
    <row r="64" spans="1:15">
      <c r="A64" t="s">
        <v>66</v>
      </c>
      <c r="B64">
        <f t="shared" si="1"/>
        <v>0.15625</v>
      </c>
      <c r="C64">
        <f t="shared" si="1"/>
        <v>0.15625</v>
      </c>
      <c r="D64">
        <v>-0.3</v>
      </c>
      <c r="E64" t="s">
        <v>82</v>
      </c>
      <c r="F64" s="2" t="s">
        <v>19</v>
      </c>
      <c r="G64" t="s">
        <v>25</v>
      </c>
      <c r="H64" t="s">
        <v>26</v>
      </c>
      <c r="I64" t="s">
        <v>24</v>
      </c>
      <c r="J64" t="s">
        <v>23</v>
      </c>
    </row>
    <row r="65" spans="1:15">
      <c r="A65" t="s">
        <v>67</v>
      </c>
      <c r="B65">
        <f>1/11.65</f>
        <v>8.5836909871244635E-2</v>
      </c>
      <c r="C65">
        <f>1/11.65</f>
        <v>8.5836909871244635E-2</v>
      </c>
      <c r="D65">
        <v>1.7</v>
      </c>
      <c r="E65" t="s">
        <v>82</v>
      </c>
      <c r="F65" s="2" t="s">
        <v>26</v>
      </c>
      <c r="G65" t="s">
        <v>23</v>
      </c>
      <c r="H65" t="s">
        <v>19</v>
      </c>
      <c r="I65" t="s">
        <v>25</v>
      </c>
      <c r="J65" t="s">
        <v>18</v>
      </c>
      <c r="K65" s="2" t="s">
        <v>26</v>
      </c>
      <c r="L65" t="s">
        <v>23</v>
      </c>
      <c r="M65" t="s">
        <v>19</v>
      </c>
      <c r="N65" t="s">
        <v>25</v>
      </c>
      <c r="O65" t="s">
        <v>18</v>
      </c>
    </row>
    <row r="66" spans="1:15">
      <c r="A66" t="s">
        <v>67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82</v>
      </c>
      <c r="F66" s="2" t="s">
        <v>17</v>
      </c>
      <c r="G66" t="s">
        <v>21</v>
      </c>
      <c r="H66" t="s">
        <v>25</v>
      </c>
      <c r="I66" t="s">
        <v>22</v>
      </c>
      <c r="J66" t="s">
        <v>18</v>
      </c>
      <c r="K66" s="2" t="s">
        <v>17</v>
      </c>
      <c r="L66" t="s">
        <v>21</v>
      </c>
      <c r="M66" t="s">
        <v>25</v>
      </c>
      <c r="N66" t="s">
        <v>22</v>
      </c>
      <c r="O66" t="s">
        <v>18</v>
      </c>
    </row>
    <row r="67" spans="1:15">
      <c r="A67" t="s">
        <v>67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82</v>
      </c>
      <c r="F67" s="2" t="s">
        <v>22</v>
      </c>
      <c r="G67" t="s">
        <v>18</v>
      </c>
      <c r="H67" t="s">
        <v>19</v>
      </c>
      <c r="I67" t="s">
        <v>20</v>
      </c>
      <c r="J67" t="s">
        <v>17</v>
      </c>
      <c r="K67" s="2" t="s">
        <v>22</v>
      </c>
      <c r="L67" t="s">
        <v>18</v>
      </c>
      <c r="M67" t="s">
        <v>19</v>
      </c>
      <c r="N67" t="s">
        <v>20</v>
      </c>
      <c r="O67" t="s">
        <v>17</v>
      </c>
    </row>
    <row r="68" spans="1:15">
      <c r="A68" t="s">
        <v>67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82</v>
      </c>
      <c r="F68" s="2" t="s">
        <v>23</v>
      </c>
      <c r="G68" t="s">
        <v>26</v>
      </c>
      <c r="H68" t="s">
        <v>17</v>
      </c>
      <c r="I68" t="s">
        <v>20</v>
      </c>
      <c r="J68" t="s">
        <v>21</v>
      </c>
      <c r="K68" s="2" t="s">
        <v>23</v>
      </c>
      <c r="L68" t="s">
        <v>26</v>
      </c>
      <c r="M68" t="s">
        <v>17</v>
      </c>
      <c r="N68" t="s">
        <v>20</v>
      </c>
      <c r="O68" t="s">
        <v>21</v>
      </c>
    </row>
    <row r="69" spans="1:15">
      <c r="A69" t="s">
        <v>67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82</v>
      </c>
      <c r="F69" s="2" t="s">
        <v>21</v>
      </c>
      <c r="G69" t="s">
        <v>26</v>
      </c>
      <c r="H69" t="s">
        <v>20</v>
      </c>
      <c r="I69" t="s">
        <v>19</v>
      </c>
      <c r="J69" t="s">
        <v>24</v>
      </c>
      <c r="K69" s="2" t="s">
        <v>21</v>
      </c>
      <c r="L69" t="s">
        <v>26</v>
      </c>
      <c r="M69" t="s">
        <v>20</v>
      </c>
      <c r="N69" t="s">
        <v>19</v>
      </c>
      <c r="O69" t="s">
        <v>24</v>
      </c>
    </row>
    <row r="70" spans="1:15">
      <c r="A70" t="s">
        <v>67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82</v>
      </c>
      <c r="F70" s="2" t="s">
        <v>21</v>
      </c>
      <c r="G70" t="s">
        <v>22</v>
      </c>
      <c r="H70" t="s">
        <v>24</v>
      </c>
      <c r="I70" t="s">
        <v>26</v>
      </c>
      <c r="J70" t="s">
        <v>17</v>
      </c>
      <c r="K70" s="2" t="s">
        <v>21</v>
      </c>
      <c r="L70" t="s">
        <v>22</v>
      </c>
      <c r="M70" t="s">
        <v>24</v>
      </c>
      <c r="N70" t="s">
        <v>26</v>
      </c>
      <c r="O70" t="s">
        <v>17</v>
      </c>
    </row>
    <row r="71" spans="1:15">
      <c r="A71" t="s">
        <v>67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82</v>
      </c>
      <c r="F71" s="2" t="s">
        <v>24</v>
      </c>
      <c r="G71" t="s">
        <v>23</v>
      </c>
      <c r="H71" t="s">
        <v>21</v>
      </c>
      <c r="I71" t="s">
        <v>17</v>
      </c>
      <c r="J71" t="s">
        <v>22</v>
      </c>
      <c r="K71" s="2" t="s">
        <v>24</v>
      </c>
      <c r="L71" t="s">
        <v>23</v>
      </c>
      <c r="M71" t="s">
        <v>21</v>
      </c>
      <c r="N71" t="s">
        <v>17</v>
      </c>
      <c r="O71" t="s">
        <v>22</v>
      </c>
    </row>
    <row r="72" spans="1:15">
      <c r="A72" t="s">
        <v>67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82</v>
      </c>
      <c r="F72" s="2" t="s">
        <v>22</v>
      </c>
      <c r="G72" t="s">
        <v>24</v>
      </c>
      <c r="H72" t="s">
        <v>18</v>
      </c>
      <c r="I72" t="s">
        <v>21</v>
      </c>
      <c r="J72" t="s">
        <v>19</v>
      </c>
      <c r="K72" s="2" t="s">
        <v>22</v>
      </c>
      <c r="L72" t="s">
        <v>24</v>
      </c>
      <c r="M72" t="s">
        <v>18</v>
      </c>
      <c r="N72" t="s">
        <v>21</v>
      </c>
    </row>
    <row r="73" spans="1:15">
      <c r="A73" t="s">
        <v>67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82</v>
      </c>
      <c r="F73" s="2" t="s">
        <v>19</v>
      </c>
      <c r="G73" t="s">
        <v>23</v>
      </c>
      <c r="H73" t="s">
        <v>22</v>
      </c>
      <c r="I73" t="s">
        <v>17</v>
      </c>
      <c r="J73" t="s">
        <v>26</v>
      </c>
      <c r="M73" t="s">
        <v>22</v>
      </c>
    </row>
    <row r="74" spans="1:15">
      <c r="A74" t="s">
        <v>67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82</v>
      </c>
      <c r="F74" s="2" t="s">
        <v>26</v>
      </c>
      <c r="G74" t="s">
        <v>20</v>
      </c>
      <c r="H74" t="s">
        <v>21</v>
      </c>
      <c r="I74" t="s">
        <v>18</v>
      </c>
      <c r="J74" t="s">
        <v>19</v>
      </c>
    </row>
    <row r="75" spans="1:15">
      <c r="A75" t="s">
        <v>67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82</v>
      </c>
      <c r="F75" s="2" t="s">
        <v>25</v>
      </c>
      <c r="G75" t="s">
        <v>21</v>
      </c>
      <c r="H75" t="s">
        <v>24</v>
      </c>
      <c r="I75" t="s">
        <v>22</v>
      </c>
      <c r="J75" t="s">
        <v>17</v>
      </c>
    </row>
    <row r="76" spans="1:15">
      <c r="A76" t="s">
        <v>67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82</v>
      </c>
      <c r="F76" s="2" t="s">
        <v>23</v>
      </c>
      <c r="G76" t="s">
        <v>18</v>
      </c>
      <c r="H76" t="s">
        <v>17</v>
      </c>
      <c r="I76" t="s">
        <v>26</v>
      </c>
      <c r="J76" t="s">
        <v>25</v>
      </c>
    </row>
    <row r="77" spans="1:15">
      <c r="A77" t="s">
        <v>67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82</v>
      </c>
      <c r="F77" s="2" t="s">
        <v>17</v>
      </c>
      <c r="G77" t="s">
        <v>25</v>
      </c>
      <c r="H77" t="s">
        <v>23</v>
      </c>
      <c r="I77" t="s">
        <v>20</v>
      </c>
      <c r="J77" t="s">
        <v>18</v>
      </c>
    </row>
    <row r="78" spans="1:15">
      <c r="A78" t="s">
        <v>67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82</v>
      </c>
      <c r="F78" s="2" t="s">
        <v>24</v>
      </c>
      <c r="G78" t="s">
        <v>17</v>
      </c>
      <c r="H78" t="s">
        <v>26</v>
      </c>
      <c r="I78" t="s">
        <v>23</v>
      </c>
      <c r="J78" t="s">
        <v>19</v>
      </c>
    </row>
    <row r="79" spans="1:15">
      <c r="A79" t="s">
        <v>67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82</v>
      </c>
      <c r="F79" s="2" t="s">
        <v>26</v>
      </c>
      <c r="G79" t="s">
        <v>18</v>
      </c>
      <c r="H79" t="s">
        <v>21</v>
      </c>
      <c r="I79" t="s">
        <v>24</v>
      </c>
      <c r="J79" t="s">
        <v>22</v>
      </c>
    </row>
    <row r="80" spans="1:15">
      <c r="A80" t="s">
        <v>67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82</v>
      </c>
      <c r="F80" s="2" t="s">
        <v>26</v>
      </c>
      <c r="G80" t="s">
        <v>25</v>
      </c>
      <c r="H80" t="s">
        <v>20</v>
      </c>
      <c r="I80" t="s">
        <v>17</v>
      </c>
      <c r="J80" t="s">
        <v>23</v>
      </c>
    </row>
    <row r="81" spans="1:15">
      <c r="A81" t="s">
        <v>67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82</v>
      </c>
      <c r="F81" s="2" t="s">
        <v>23</v>
      </c>
      <c r="G81" t="s">
        <v>22</v>
      </c>
      <c r="H81" t="s">
        <v>25</v>
      </c>
      <c r="I81" t="s">
        <v>24</v>
      </c>
      <c r="J81" t="s">
        <v>26</v>
      </c>
    </row>
    <row r="82" spans="1:15">
      <c r="A82" t="s">
        <v>67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82</v>
      </c>
      <c r="F82" s="2" t="s">
        <v>24</v>
      </c>
      <c r="G82" t="s">
        <v>17</v>
      </c>
      <c r="H82" t="s">
        <v>23</v>
      </c>
      <c r="I82" t="s">
        <v>22</v>
      </c>
      <c r="J82" t="s">
        <v>25</v>
      </c>
    </row>
    <row r="83" spans="1:15">
      <c r="A83" t="s">
        <v>67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82</v>
      </c>
      <c r="F83" s="2" t="s">
        <v>25</v>
      </c>
      <c r="G83" t="s">
        <v>22</v>
      </c>
      <c r="H83" t="s">
        <v>19</v>
      </c>
      <c r="I83" t="s">
        <v>17</v>
      </c>
      <c r="J83" t="s">
        <v>21</v>
      </c>
    </row>
    <row r="84" spans="1:15">
      <c r="A84" t="s">
        <v>67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82</v>
      </c>
      <c r="F84" s="2" t="s">
        <v>23</v>
      </c>
      <c r="G84" t="s">
        <v>19</v>
      </c>
      <c r="H84" t="s">
        <v>26</v>
      </c>
      <c r="I84" t="s">
        <v>25</v>
      </c>
      <c r="J84" t="s">
        <v>21</v>
      </c>
    </row>
    <row r="85" spans="1:15">
      <c r="A85" t="s">
        <v>67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82</v>
      </c>
      <c r="F85" s="2" t="s">
        <v>19</v>
      </c>
      <c r="G85" t="s">
        <v>24</v>
      </c>
      <c r="H85" t="s">
        <v>26</v>
      </c>
      <c r="I85" t="s">
        <v>20</v>
      </c>
      <c r="J85" t="s">
        <v>18</v>
      </c>
    </row>
    <row r="86" spans="1:15">
      <c r="A86" t="s">
        <v>68</v>
      </c>
      <c r="B86">
        <f>1/20.9</f>
        <v>4.784688995215311E-2</v>
      </c>
      <c r="C86">
        <f>1/20.9</f>
        <v>4.784688995215311E-2</v>
      </c>
      <c r="D86">
        <v>1.7</v>
      </c>
      <c r="E86" t="s">
        <v>82</v>
      </c>
      <c r="F86" s="2" t="s">
        <v>26</v>
      </c>
      <c r="G86" t="s">
        <v>17</v>
      </c>
      <c r="H86" t="s">
        <v>24</v>
      </c>
      <c r="I86" t="s">
        <v>19</v>
      </c>
      <c r="J86" t="s">
        <v>23</v>
      </c>
      <c r="K86" s="2" t="s">
        <v>26</v>
      </c>
      <c r="L86" t="s">
        <v>17</v>
      </c>
      <c r="M86" t="s">
        <v>24</v>
      </c>
      <c r="N86" t="s">
        <v>19</v>
      </c>
      <c r="O86" t="s">
        <v>23</v>
      </c>
    </row>
    <row r="87" spans="1:15">
      <c r="A87" t="s">
        <v>68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82</v>
      </c>
      <c r="F87" s="2" t="s">
        <v>19</v>
      </c>
      <c r="G87" t="s">
        <v>20</v>
      </c>
      <c r="H87" t="s">
        <v>21</v>
      </c>
      <c r="I87" t="s">
        <v>18</v>
      </c>
      <c r="J87" t="s">
        <v>25</v>
      </c>
      <c r="K87" s="2" t="s">
        <v>19</v>
      </c>
      <c r="L87" t="s">
        <v>20</v>
      </c>
      <c r="M87" t="s">
        <v>21</v>
      </c>
      <c r="N87" t="s">
        <v>18</v>
      </c>
      <c r="O87" t="s">
        <v>25</v>
      </c>
    </row>
    <row r="88" spans="1:15">
      <c r="A88" t="s">
        <v>68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82</v>
      </c>
      <c r="F88" s="2" t="s">
        <v>17</v>
      </c>
      <c r="G88" t="s">
        <v>25</v>
      </c>
      <c r="H88" t="s">
        <v>23</v>
      </c>
      <c r="I88" t="s">
        <v>24</v>
      </c>
      <c r="J88" t="s">
        <v>18</v>
      </c>
      <c r="K88" s="2" t="s">
        <v>17</v>
      </c>
      <c r="L88" t="s">
        <v>25</v>
      </c>
      <c r="M88" t="s">
        <v>23</v>
      </c>
      <c r="N88" t="s">
        <v>24</v>
      </c>
      <c r="O88" t="s">
        <v>18</v>
      </c>
    </row>
    <row r="89" spans="1:15">
      <c r="A89" t="s">
        <v>68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82</v>
      </c>
      <c r="F89" s="2" t="s">
        <v>22</v>
      </c>
      <c r="G89" t="s">
        <v>21</v>
      </c>
      <c r="H89" t="s">
        <v>18</v>
      </c>
      <c r="I89" t="s">
        <v>26</v>
      </c>
      <c r="J89" t="s">
        <v>17</v>
      </c>
      <c r="K89" s="2"/>
      <c r="L89" t="s">
        <v>21</v>
      </c>
    </row>
    <row r="90" spans="1:15">
      <c r="A90" t="s">
        <v>68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82</v>
      </c>
      <c r="F90" s="2" t="s">
        <v>17</v>
      </c>
      <c r="G90" t="s">
        <v>21</v>
      </c>
      <c r="H90" t="s">
        <v>22</v>
      </c>
      <c r="I90" t="s">
        <v>26</v>
      </c>
      <c r="J90" t="s">
        <v>24</v>
      </c>
      <c r="K90" s="2"/>
    </row>
    <row r="91" spans="1:15">
      <c r="A91" t="s">
        <v>68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82</v>
      </c>
      <c r="F91" s="2" t="s">
        <v>18</v>
      </c>
      <c r="G91" t="s">
        <v>24</v>
      </c>
      <c r="H91" t="s">
        <v>26</v>
      </c>
      <c r="I91" t="s">
        <v>25</v>
      </c>
      <c r="J91" t="s">
        <v>17</v>
      </c>
      <c r="K91" s="2"/>
    </row>
    <row r="92" spans="1:15">
      <c r="A92" t="s">
        <v>68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82</v>
      </c>
      <c r="F92" s="2" t="s">
        <v>19</v>
      </c>
      <c r="G92" t="s">
        <v>22</v>
      </c>
      <c r="H92" t="s">
        <v>25</v>
      </c>
      <c r="I92" t="s">
        <v>17</v>
      </c>
      <c r="J92" t="s">
        <v>24</v>
      </c>
    </row>
    <row r="93" spans="1:15">
      <c r="A93" t="s">
        <v>68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82</v>
      </c>
      <c r="F93" s="2" t="s">
        <v>20</v>
      </c>
      <c r="G93" t="s">
        <v>24</v>
      </c>
      <c r="H93" t="s">
        <v>23</v>
      </c>
      <c r="I93" t="s">
        <v>25</v>
      </c>
      <c r="J93" t="s">
        <v>17</v>
      </c>
    </row>
    <row r="94" spans="1:15">
      <c r="A94" t="s">
        <v>68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82</v>
      </c>
      <c r="F94" s="2" t="s">
        <v>18</v>
      </c>
      <c r="G94" t="s">
        <v>17</v>
      </c>
      <c r="H94" t="s">
        <v>25</v>
      </c>
      <c r="I94" t="s">
        <v>22</v>
      </c>
      <c r="J94" t="s">
        <v>19</v>
      </c>
    </row>
    <row r="95" spans="1:15">
      <c r="A95" t="s">
        <v>68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82</v>
      </c>
      <c r="F95" s="2" t="s">
        <v>19</v>
      </c>
      <c r="G95" t="s">
        <v>25</v>
      </c>
      <c r="H95" t="s">
        <v>17</v>
      </c>
      <c r="I95" t="s">
        <v>22</v>
      </c>
      <c r="J95" t="s">
        <v>23</v>
      </c>
    </row>
    <row r="96" spans="1:15">
      <c r="A96" t="s">
        <v>68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82</v>
      </c>
      <c r="F96" s="2" t="s">
        <v>20</v>
      </c>
      <c r="G96" t="s">
        <v>21</v>
      </c>
      <c r="H96" t="s">
        <v>19</v>
      </c>
      <c r="I96" t="s">
        <v>23</v>
      </c>
      <c r="J96" t="s">
        <v>24</v>
      </c>
    </row>
    <row r="97" spans="1:14">
      <c r="A97" t="s">
        <v>68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82</v>
      </c>
      <c r="F97" s="2" t="s">
        <v>19</v>
      </c>
      <c r="G97" t="s">
        <v>22</v>
      </c>
      <c r="H97" t="s">
        <v>25</v>
      </c>
      <c r="I97" t="s">
        <v>18</v>
      </c>
      <c r="J97" t="s">
        <v>26</v>
      </c>
    </row>
    <row r="98" spans="1:14">
      <c r="A98" t="s">
        <v>68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82</v>
      </c>
      <c r="F98" s="2" t="s">
        <v>18</v>
      </c>
      <c r="G98" t="s">
        <v>21</v>
      </c>
      <c r="H98" t="s">
        <v>23</v>
      </c>
      <c r="I98" t="s">
        <v>22</v>
      </c>
      <c r="J98" t="s">
        <v>20</v>
      </c>
    </row>
    <row r="99" spans="1:14">
      <c r="A99" t="s">
        <v>68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82</v>
      </c>
      <c r="F99" s="2" t="s">
        <v>18</v>
      </c>
      <c r="G99" t="s">
        <v>25</v>
      </c>
      <c r="H99" t="s">
        <v>21</v>
      </c>
      <c r="I99" t="s">
        <v>20</v>
      </c>
      <c r="J99" t="s">
        <v>23</v>
      </c>
    </row>
    <row r="100" spans="1:14">
      <c r="A100" t="s">
        <v>68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82</v>
      </c>
      <c r="F100" s="2" t="s">
        <v>26</v>
      </c>
      <c r="G100" t="s">
        <v>22</v>
      </c>
      <c r="H100" t="s">
        <v>17</v>
      </c>
      <c r="I100" t="s">
        <v>25</v>
      </c>
      <c r="J100" t="s">
        <v>24</v>
      </c>
    </row>
    <row r="101" spans="1:14">
      <c r="A101" t="s">
        <v>68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82</v>
      </c>
      <c r="F101" s="2" t="s">
        <v>25</v>
      </c>
      <c r="G101" t="s">
        <v>22</v>
      </c>
      <c r="H101" t="s">
        <v>19</v>
      </c>
      <c r="I101" t="s">
        <v>17</v>
      </c>
      <c r="J101" t="s">
        <v>20</v>
      </c>
    </row>
    <row r="102" spans="1:14">
      <c r="A102" t="s">
        <v>68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82</v>
      </c>
      <c r="F102" s="2" t="s">
        <v>18</v>
      </c>
      <c r="G102" t="s">
        <v>24</v>
      </c>
      <c r="H102" t="s">
        <v>22</v>
      </c>
      <c r="I102" t="s">
        <v>17</v>
      </c>
      <c r="J102" t="s">
        <v>19</v>
      </c>
    </row>
    <row r="103" spans="1:14">
      <c r="A103" t="s">
        <v>68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82</v>
      </c>
      <c r="F103" s="2" t="s">
        <v>17</v>
      </c>
      <c r="G103" t="s">
        <v>23</v>
      </c>
      <c r="H103" t="s">
        <v>24</v>
      </c>
      <c r="I103" t="s">
        <v>20</v>
      </c>
      <c r="J103" t="s">
        <v>18</v>
      </c>
    </row>
    <row r="104" spans="1:14">
      <c r="A104" t="s">
        <v>68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82</v>
      </c>
      <c r="F104" s="2" t="s">
        <v>25</v>
      </c>
      <c r="G104" t="s">
        <v>26</v>
      </c>
      <c r="H104" t="s">
        <v>21</v>
      </c>
      <c r="I104" t="s">
        <v>19</v>
      </c>
      <c r="J104" t="s">
        <v>18</v>
      </c>
    </row>
    <row r="105" spans="1:14">
      <c r="A105" t="s">
        <v>68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82</v>
      </c>
      <c r="F105" s="2" t="s">
        <v>17</v>
      </c>
      <c r="G105" t="s">
        <v>20</v>
      </c>
      <c r="H105" t="s">
        <v>26</v>
      </c>
      <c r="I105" t="s">
        <v>19</v>
      </c>
      <c r="J105" t="s">
        <v>23</v>
      </c>
    </row>
    <row r="106" spans="1:14">
      <c r="A106" t="s">
        <v>68</v>
      </c>
      <c r="B106">
        <f>1/20.9</f>
        <v>4.784688995215311E-2</v>
      </c>
      <c r="C106">
        <f>1/20.9</f>
        <v>4.784688995215311E-2</v>
      </c>
      <c r="D106">
        <v>-0.3</v>
      </c>
      <c r="E106" t="s">
        <v>82</v>
      </c>
      <c r="F106" s="2" t="s">
        <v>26</v>
      </c>
      <c r="G106" t="s">
        <v>23</v>
      </c>
      <c r="H106" t="s">
        <v>17</v>
      </c>
      <c r="I106" t="s">
        <v>25</v>
      </c>
      <c r="J106" t="s">
        <v>21</v>
      </c>
    </row>
    <row r="107" spans="1:14">
      <c r="A107" t="s">
        <v>69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82</v>
      </c>
      <c r="F107" s="2" t="s">
        <v>19</v>
      </c>
      <c r="G107" t="s">
        <v>24</v>
      </c>
      <c r="H107" t="s">
        <v>25</v>
      </c>
      <c r="I107" t="s">
        <v>21</v>
      </c>
      <c r="J107" t="s">
        <v>18</v>
      </c>
      <c r="K107" s="2"/>
      <c r="M107" t="s">
        <v>25</v>
      </c>
      <c r="N107" t="s">
        <v>21</v>
      </c>
    </row>
    <row r="108" spans="1:14">
      <c r="A108" t="s">
        <v>69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82</v>
      </c>
      <c r="F108" s="2" t="s">
        <v>26</v>
      </c>
      <c r="G108" t="s">
        <v>17</v>
      </c>
      <c r="H108" t="s">
        <v>25</v>
      </c>
      <c r="I108" t="s">
        <v>20</v>
      </c>
      <c r="J108" t="s">
        <v>18</v>
      </c>
    </row>
    <row r="109" spans="1:14">
      <c r="A109" t="s">
        <v>69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82</v>
      </c>
      <c r="F109" s="2" t="s">
        <v>25</v>
      </c>
      <c r="G109" t="s">
        <v>18</v>
      </c>
      <c r="H109" t="s">
        <v>17</v>
      </c>
      <c r="I109" t="s">
        <v>22</v>
      </c>
      <c r="J109" t="s">
        <v>26</v>
      </c>
    </row>
    <row r="110" spans="1:14">
      <c r="A110" t="s">
        <v>69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82</v>
      </c>
      <c r="F110" s="2" t="s">
        <v>25</v>
      </c>
      <c r="G110" t="s">
        <v>17</v>
      </c>
      <c r="H110" t="s">
        <v>21</v>
      </c>
      <c r="I110" t="s">
        <v>22</v>
      </c>
      <c r="J110" t="s">
        <v>19</v>
      </c>
    </row>
    <row r="111" spans="1:14">
      <c r="A111" t="s">
        <v>69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82</v>
      </c>
      <c r="F111" s="2" t="s">
        <v>21</v>
      </c>
      <c r="G111" t="s">
        <v>18</v>
      </c>
      <c r="H111" t="s">
        <v>23</v>
      </c>
      <c r="I111" t="s">
        <v>26</v>
      </c>
      <c r="J111" t="s">
        <v>20</v>
      </c>
    </row>
    <row r="112" spans="1:14">
      <c r="A112" t="s">
        <v>69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82</v>
      </c>
      <c r="F112" s="2" t="s">
        <v>22</v>
      </c>
      <c r="G112" t="s">
        <v>18</v>
      </c>
      <c r="H112" t="s">
        <v>24</v>
      </c>
      <c r="I112" t="s">
        <v>20</v>
      </c>
      <c r="J112" t="s">
        <v>17</v>
      </c>
    </row>
    <row r="113" spans="1:15">
      <c r="A113" t="s">
        <v>69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82</v>
      </c>
      <c r="F113" s="2" t="s">
        <v>17</v>
      </c>
      <c r="G113" t="s">
        <v>18</v>
      </c>
      <c r="H113" t="s">
        <v>23</v>
      </c>
      <c r="I113" t="s">
        <v>22</v>
      </c>
      <c r="J113" t="s">
        <v>26</v>
      </c>
    </row>
    <row r="114" spans="1:15">
      <c r="A114" t="s">
        <v>69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82</v>
      </c>
      <c r="F114" s="2" t="s">
        <v>22</v>
      </c>
      <c r="G114" t="s">
        <v>17</v>
      </c>
      <c r="H114" t="s">
        <v>18</v>
      </c>
      <c r="I114" t="s">
        <v>26</v>
      </c>
      <c r="J114" t="s">
        <v>20</v>
      </c>
    </row>
    <row r="115" spans="1:15">
      <c r="A115" t="s">
        <v>69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82</v>
      </c>
      <c r="F115" s="2" t="s">
        <v>25</v>
      </c>
      <c r="G115" t="s">
        <v>17</v>
      </c>
      <c r="H115" t="s">
        <v>23</v>
      </c>
      <c r="I115" t="s">
        <v>21</v>
      </c>
      <c r="J115" t="s">
        <v>24</v>
      </c>
    </row>
    <row r="116" spans="1:15">
      <c r="A116" t="s">
        <v>69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82</v>
      </c>
      <c r="F116" s="2" t="s">
        <v>21</v>
      </c>
      <c r="G116" t="s">
        <v>26</v>
      </c>
      <c r="H116" t="s">
        <v>17</v>
      </c>
      <c r="I116" t="s">
        <v>18</v>
      </c>
      <c r="J116" t="s">
        <v>20</v>
      </c>
    </row>
    <row r="117" spans="1:15">
      <c r="A117" t="s">
        <v>69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82</v>
      </c>
      <c r="F117" s="2" t="s">
        <v>18</v>
      </c>
      <c r="G117" t="s">
        <v>21</v>
      </c>
      <c r="H117" t="s">
        <v>23</v>
      </c>
      <c r="I117" t="s">
        <v>26</v>
      </c>
      <c r="J117" t="s">
        <v>20</v>
      </c>
    </row>
    <row r="118" spans="1:15">
      <c r="A118" t="s">
        <v>69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82</v>
      </c>
      <c r="F118" s="2" t="s">
        <v>17</v>
      </c>
      <c r="G118" t="s">
        <v>22</v>
      </c>
      <c r="H118" t="s">
        <v>26</v>
      </c>
      <c r="I118" t="s">
        <v>19</v>
      </c>
      <c r="J118" t="s">
        <v>23</v>
      </c>
    </row>
    <row r="119" spans="1:15">
      <c r="A119" t="s">
        <v>69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82</v>
      </c>
      <c r="F119" s="2" t="s">
        <v>22</v>
      </c>
      <c r="G119" t="s">
        <v>24</v>
      </c>
      <c r="H119" t="s">
        <v>25</v>
      </c>
      <c r="I119" t="s">
        <v>20</v>
      </c>
      <c r="J119" t="s">
        <v>26</v>
      </c>
    </row>
    <row r="120" spans="1:15">
      <c r="A120" t="s">
        <v>69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82</v>
      </c>
      <c r="F120" s="2" t="s">
        <v>20</v>
      </c>
      <c r="G120" t="s">
        <v>26</v>
      </c>
      <c r="H120" t="s">
        <v>17</v>
      </c>
      <c r="I120" t="s">
        <v>18</v>
      </c>
      <c r="J120" t="s">
        <v>21</v>
      </c>
    </row>
    <row r="121" spans="1:15">
      <c r="A121" t="s">
        <v>69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82</v>
      </c>
      <c r="F121" s="2" t="s">
        <v>21</v>
      </c>
      <c r="G121" t="s">
        <v>19</v>
      </c>
      <c r="H121" t="s">
        <v>25</v>
      </c>
      <c r="I121" t="s">
        <v>23</v>
      </c>
      <c r="J121" t="s">
        <v>26</v>
      </c>
    </row>
    <row r="122" spans="1:15">
      <c r="A122" t="s">
        <v>69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82</v>
      </c>
      <c r="F122" s="2" t="s">
        <v>22</v>
      </c>
      <c r="G122" t="s">
        <v>23</v>
      </c>
      <c r="H122" t="s">
        <v>20</v>
      </c>
      <c r="I122" t="s">
        <v>21</v>
      </c>
      <c r="J122" t="s">
        <v>26</v>
      </c>
    </row>
    <row r="123" spans="1:15">
      <c r="A123" t="s">
        <v>69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82</v>
      </c>
      <c r="F123" s="2" t="s">
        <v>22</v>
      </c>
      <c r="G123" t="s">
        <v>18</v>
      </c>
      <c r="H123" t="s">
        <v>20</v>
      </c>
      <c r="I123" t="s">
        <v>26</v>
      </c>
      <c r="J123" t="s">
        <v>23</v>
      </c>
    </row>
    <row r="124" spans="1:15">
      <c r="A124" t="s">
        <v>69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82</v>
      </c>
      <c r="F124" s="2" t="s">
        <v>23</v>
      </c>
      <c r="G124" t="s">
        <v>20</v>
      </c>
      <c r="H124" t="s">
        <v>17</v>
      </c>
      <c r="I124" t="s">
        <v>19</v>
      </c>
      <c r="J124" t="s">
        <v>22</v>
      </c>
    </row>
    <row r="125" spans="1:15">
      <c r="A125" t="s">
        <v>69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82</v>
      </c>
      <c r="F125" s="2" t="s">
        <v>21</v>
      </c>
      <c r="G125" t="s">
        <v>17</v>
      </c>
      <c r="H125" t="s">
        <v>25</v>
      </c>
      <c r="I125" t="s">
        <v>18</v>
      </c>
      <c r="J125" t="s">
        <v>26</v>
      </c>
    </row>
    <row r="126" spans="1:15">
      <c r="A126" t="s">
        <v>69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82</v>
      </c>
      <c r="F126" s="2" t="s">
        <v>24</v>
      </c>
      <c r="G126" t="s">
        <v>20</v>
      </c>
      <c r="H126" t="s">
        <v>17</v>
      </c>
      <c r="I126" t="s">
        <v>26</v>
      </c>
      <c r="J126" t="s">
        <v>23</v>
      </c>
    </row>
    <row r="127" spans="1:15">
      <c r="A127" t="s">
        <v>69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82</v>
      </c>
      <c r="F127" s="2" t="s">
        <v>18</v>
      </c>
      <c r="G127" t="s">
        <v>19</v>
      </c>
      <c r="H127" t="s">
        <v>25</v>
      </c>
      <c r="I127" t="s">
        <v>17</v>
      </c>
      <c r="J127" t="s">
        <v>21</v>
      </c>
    </row>
    <row r="128" spans="1:15">
      <c r="A128" t="s">
        <v>70</v>
      </c>
      <c r="B128">
        <f>1/4</f>
        <v>0.25</v>
      </c>
      <c r="C128">
        <v>1</v>
      </c>
      <c r="D128">
        <v>1.7</v>
      </c>
      <c r="E128" t="s">
        <v>82</v>
      </c>
      <c r="F128" t="s">
        <v>22</v>
      </c>
      <c r="G128" t="s">
        <v>19</v>
      </c>
      <c r="H128" t="s">
        <v>25</v>
      </c>
      <c r="I128" t="s">
        <v>26</v>
      </c>
      <c r="J128" t="s">
        <v>23</v>
      </c>
      <c r="K128" t="s">
        <v>22</v>
      </c>
      <c r="L128" t="s">
        <v>19</v>
      </c>
      <c r="M128" t="s">
        <v>25</v>
      </c>
      <c r="N128" t="s">
        <v>26</v>
      </c>
      <c r="O128" t="s">
        <v>23</v>
      </c>
    </row>
    <row r="129" spans="1:15">
      <c r="A129" t="s">
        <v>70</v>
      </c>
      <c r="B129">
        <f t="shared" ref="B129:B148" si="5">1/4</f>
        <v>0.25</v>
      </c>
      <c r="C129">
        <v>1</v>
      </c>
      <c r="D129">
        <v>1.6</v>
      </c>
      <c r="E129" t="s">
        <v>82</v>
      </c>
      <c r="F129" t="s">
        <v>21</v>
      </c>
      <c r="G129" t="s">
        <v>24</v>
      </c>
      <c r="H129" t="s">
        <v>17</v>
      </c>
      <c r="I129" t="s">
        <v>22</v>
      </c>
      <c r="J129" t="s">
        <v>18</v>
      </c>
      <c r="K129" t="s">
        <v>21</v>
      </c>
      <c r="L129" t="s">
        <v>24</v>
      </c>
      <c r="M129" t="s">
        <v>17</v>
      </c>
      <c r="N129" t="s">
        <v>22</v>
      </c>
      <c r="O129" t="s">
        <v>18</v>
      </c>
    </row>
    <row r="130" spans="1:15">
      <c r="A130" t="s">
        <v>70</v>
      </c>
      <c r="B130">
        <f t="shared" si="5"/>
        <v>0.25</v>
      </c>
      <c r="C130">
        <v>1</v>
      </c>
      <c r="D130">
        <v>1.5</v>
      </c>
      <c r="E130" t="s">
        <v>82</v>
      </c>
      <c r="F130" t="s">
        <v>26</v>
      </c>
      <c r="G130" t="s">
        <v>20</v>
      </c>
      <c r="H130" t="s">
        <v>23</v>
      </c>
      <c r="I130" t="s">
        <v>21</v>
      </c>
      <c r="J130" t="s">
        <v>22</v>
      </c>
      <c r="K130" t="s">
        <v>26</v>
      </c>
      <c r="L130" t="s">
        <v>20</v>
      </c>
      <c r="M130" t="s">
        <v>23</v>
      </c>
      <c r="N130" t="s">
        <v>21</v>
      </c>
      <c r="O130" t="s">
        <v>22</v>
      </c>
    </row>
    <row r="131" spans="1:15">
      <c r="A131" t="s">
        <v>70</v>
      </c>
      <c r="B131">
        <f t="shared" si="5"/>
        <v>0.25</v>
      </c>
      <c r="C131">
        <v>1</v>
      </c>
      <c r="D131">
        <v>1.4</v>
      </c>
      <c r="E131" t="s">
        <v>82</v>
      </c>
      <c r="F131" t="s">
        <v>18</v>
      </c>
      <c r="G131" t="s">
        <v>21</v>
      </c>
      <c r="H131" t="s">
        <v>23</v>
      </c>
      <c r="I131" t="s">
        <v>20</v>
      </c>
      <c r="J131" t="s">
        <v>26</v>
      </c>
      <c r="K131" t="s">
        <v>18</v>
      </c>
      <c r="L131" t="s">
        <v>21</v>
      </c>
      <c r="M131" t="s">
        <v>23</v>
      </c>
      <c r="N131" t="s">
        <v>20</v>
      </c>
      <c r="O131" t="s">
        <v>26</v>
      </c>
    </row>
    <row r="132" spans="1:15">
      <c r="A132" t="s">
        <v>70</v>
      </c>
      <c r="B132">
        <f t="shared" si="5"/>
        <v>0.25</v>
      </c>
      <c r="C132">
        <v>1</v>
      </c>
      <c r="D132">
        <v>1.3</v>
      </c>
      <c r="E132" t="s">
        <v>82</v>
      </c>
      <c r="F132" t="s">
        <v>23</v>
      </c>
      <c r="G132" t="s">
        <v>25</v>
      </c>
      <c r="H132" t="s">
        <v>17</v>
      </c>
      <c r="I132" t="s">
        <v>22</v>
      </c>
      <c r="J132" t="s">
        <v>21</v>
      </c>
      <c r="K132" t="s">
        <v>23</v>
      </c>
      <c r="L132" t="s">
        <v>25</v>
      </c>
      <c r="M132" t="s">
        <v>17</v>
      </c>
      <c r="N132" t="s">
        <v>22</v>
      </c>
      <c r="O132" t="s">
        <v>21</v>
      </c>
    </row>
    <row r="133" spans="1:15">
      <c r="A133" t="s">
        <v>70</v>
      </c>
      <c r="B133">
        <f t="shared" si="5"/>
        <v>0.25</v>
      </c>
      <c r="C133">
        <v>1</v>
      </c>
      <c r="D133">
        <v>1.2</v>
      </c>
      <c r="E133" t="s">
        <v>82</v>
      </c>
      <c r="F133" t="s">
        <v>18</v>
      </c>
      <c r="G133" t="s">
        <v>25</v>
      </c>
      <c r="H133" t="s">
        <v>26</v>
      </c>
      <c r="I133" t="s">
        <v>17</v>
      </c>
      <c r="J133" t="s">
        <v>24</v>
      </c>
      <c r="K133" t="s">
        <v>18</v>
      </c>
      <c r="L133" t="s">
        <v>25</v>
      </c>
      <c r="M133" t="s">
        <v>26</v>
      </c>
      <c r="N133" t="s">
        <v>17</v>
      </c>
      <c r="O133" t="s">
        <v>24</v>
      </c>
    </row>
    <row r="134" spans="1:15">
      <c r="A134" t="s">
        <v>70</v>
      </c>
      <c r="B134">
        <f t="shared" si="5"/>
        <v>0.25</v>
      </c>
      <c r="C134">
        <v>1</v>
      </c>
      <c r="D134">
        <v>1.1000000000000001</v>
      </c>
      <c r="E134" t="s">
        <v>82</v>
      </c>
      <c r="F134" t="s">
        <v>23</v>
      </c>
      <c r="G134" t="s">
        <v>20</v>
      </c>
      <c r="H134" t="s">
        <v>22</v>
      </c>
      <c r="I134" t="s">
        <v>19</v>
      </c>
      <c r="J134" t="s">
        <v>26</v>
      </c>
      <c r="K134" t="s">
        <v>23</v>
      </c>
      <c r="L134" t="s">
        <v>20</v>
      </c>
      <c r="M134" t="s">
        <v>22</v>
      </c>
      <c r="N134" t="s">
        <v>19</v>
      </c>
      <c r="O134" t="s">
        <v>26</v>
      </c>
    </row>
    <row r="135" spans="1:15">
      <c r="A135" t="s">
        <v>70</v>
      </c>
      <c r="B135">
        <f t="shared" si="5"/>
        <v>0.25</v>
      </c>
      <c r="C135">
        <v>1</v>
      </c>
      <c r="D135">
        <v>1</v>
      </c>
      <c r="E135" t="s">
        <v>82</v>
      </c>
      <c r="F135" t="s">
        <v>24</v>
      </c>
      <c r="G135" t="s">
        <v>23</v>
      </c>
      <c r="H135" t="s">
        <v>19</v>
      </c>
      <c r="I135" t="s">
        <v>20</v>
      </c>
      <c r="J135" t="s">
        <v>18</v>
      </c>
      <c r="K135" t="s">
        <v>24</v>
      </c>
      <c r="L135" t="s">
        <v>23</v>
      </c>
      <c r="M135" t="s">
        <v>19</v>
      </c>
      <c r="N135" t="s">
        <v>20</v>
      </c>
      <c r="O135" t="s">
        <v>18</v>
      </c>
    </row>
    <row r="136" spans="1:15">
      <c r="A136" t="s">
        <v>70</v>
      </c>
      <c r="B136">
        <f t="shared" si="5"/>
        <v>0.25</v>
      </c>
      <c r="C136">
        <v>1</v>
      </c>
      <c r="D136">
        <v>0.90000000000000102</v>
      </c>
      <c r="E136" t="s">
        <v>82</v>
      </c>
      <c r="F136" t="s">
        <v>25</v>
      </c>
      <c r="G136" t="s">
        <v>26</v>
      </c>
      <c r="H136" t="s">
        <v>20</v>
      </c>
      <c r="I136" t="s">
        <v>24</v>
      </c>
      <c r="J136" t="s">
        <v>17</v>
      </c>
      <c r="K136" t="s">
        <v>25</v>
      </c>
      <c r="L136" t="s">
        <v>26</v>
      </c>
      <c r="M136" t="s">
        <v>20</v>
      </c>
      <c r="N136" t="s">
        <v>24</v>
      </c>
      <c r="O136" t="s">
        <v>17</v>
      </c>
    </row>
    <row r="137" spans="1:15">
      <c r="A137" t="s">
        <v>70</v>
      </c>
      <c r="B137">
        <f t="shared" si="5"/>
        <v>0.25</v>
      </c>
      <c r="C137">
        <v>1</v>
      </c>
      <c r="D137">
        <v>0.80000000000000104</v>
      </c>
      <c r="E137" t="s">
        <v>82</v>
      </c>
      <c r="F137" t="s">
        <v>24</v>
      </c>
      <c r="G137" t="s">
        <v>25</v>
      </c>
      <c r="H137" t="s">
        <v>19</v>
      </c>
      <c r="I137" t="s">
        <v>22</v>
      </c>
      <c r="J137" t="s">
        <v>17</v>
      </c>
      <c r="K137" t="s">
        <v>24</v>
      </c>
      <c r="L137" t="s">
        <v>25</v>
      </c>
      <c r="M137" t="s">
        <v>19</v>
      </c>
      <c r="N137" t="s">
        <v>22</v>
      </c>
      <c r="O137" t="s">
        <v>17</v>
      </c>
    </row>
    <row r="138" spans="1:15">
      <c r="A138" t="s">
        <v>70</v>
      </c>
      <c r="B138">
        <f t="shared" si="5"/>
        <v>0.25</v>
      </c>
      <c r="C138">
        <v>1</v>
      </c>
      <c r="D138">
        <v>0.70000000000000095</v>
      </c>
      <c r="E138" t="s">
        <v>82</v>
      </c>
      <c r="F138" t="s">
        <v>18</v>
      </c>
      <c r="G138" t="s">
        <v>25</v>
      </c>
      <c r="H138" t="s">
        <v>17</v>
      </c>
      <c r="I138" t="s">
        <v>19</v>
      </c>
      <c r="J138" t="s">
        <v>21</v>
      </c>
      <c r="K138" t="s">
        <v>18</v>
      </c>
      <c r="L138" t="s">
        <v>25</v>
      </c>
      <c r="M138" t="s">
        <v>17</v>
      </c>
      <c r="N138" t="s">
        <v>19</v>
      </c>
      <c r="O138" t="s">
        <v>21</v>
      </c>
    </row>
    <row r="139" spans="1:15">
      <c r="A139" t="s">
        <v>70</v>
      </c>
      <c r="B139">
        <f t="shared" si="5"/>
        <v>0.25</v>
      </c>
      <c r="C139">
        <v>1</v>
      </c>
      <c r="D139">
        <v>0.6</v>
      </c>
      <c r="E139" t="s">
        <v>82</v>
      </c>
      <c r="F139" t="s">
        <v>24</v>
      </c>
      <c r="G139" t="s">
        <v>21</v>
      </c>
      <c r="H139" t="s">
        <v>23</v>
      </c>
      <c r="I139" t="s">
        <v>26</v>
      </c>
      <c r="J139" t="s">
        <v>25</v>
      </c>
      <c r="K139" t="s">
        <v>24</v>
      </c>
      <c r="L139" t="s">
        <v>21</v>
      </c>
      <c r="M139" t="s">
        <v>23</v>
      </c>
      <c r="N139" t="s">
        <v>26</v>
      </c>
      <c r="O139" t="s">
        <v>25</v>
      </c>
    </row>
    <row r="140" spans="1:15">
      <c r="A140" t="s">
        <v>70</v>
      </c>
      <c r="B140">
        <f t="shared" si="5"/>
        <v>0.25</v>
      </c>
      <c r="C140">
        <v>1</v>
      </c>
      <c r="D140">
        <v>0.5</v>
      </c>
      <c r="E140" t="s">
        <v>82</v>
      </c>
      <c r="F140" t="s">
        <v>25</v>
      </c>
      <c r="G140" t="s">
        <v>26</v>
      </c>
      <c r="H140" t="s">
        <v>21</v>
      </c>
      <c r="I140" t="s">
        <v>23</v>
      </c>
      <c r="J140" t="s">
        <v>19</v>
      </c>
      <c r="K140" t="s">
        <v>25</v>
      </c>
      <c r="L140" t="s">
        <v>26</v>
      </c>
      <c r="M140" t="s">
        <v>21</v>
      </c>
      <c r="N140" t="s">
        <v>23</v>
      </c>
      <c r="O140" t="s">
        <v>19</v>
      </c>
    </row>
    <row r="141" spans="1:15">
      <c r="A141" t="s">
        <v>70</v>
      </c>
      <c r="B141">
        <f t="shared" si="5"/>
        <v>0.25</v>
      </c>
      <c r="C141">
        <v>1</v>
      </c>
      <c r="D141">
        <v>0.4</v>
      </c>
      <c r="E141" t="s">
        <v>82</v>
      </c>
      <c r="F141" t="s">
        <v>26</v>
      </c>
      <c r="G141" t="s">
        <v>18</v>
      </c>
      <c r="H141" t="s">
        <v>17</v>
      </c>
      <c r="I141" t="s">
        <v>24</v>
      </c>
      <c r="J141" t="s">
        <v>19</v>
      </c>
      <c r="K141" t="s">
        <v>26</v>
      </c>
      <c r="L141" t="s">
        <v>18</v>
      </c>
      <c r="M141" t="s">
        <v>17</v>
      </c>
      <c r="N141" t="s">
        <v>24</v>
      </c>
      <c r="O141" t="s">
        <v>19</v>
      </c>
    </row>
    <row r="142" spans="1:15">
      <c r="A142" t="s">
        <v>70</v>
      </c>
      <c r="B142">
        <f t="shared" si="5"/>
        <v>0.25</v>
      </c>
      <c r="C142">
        <v>1</v>
      </c>
      <c r="D142">
        <v>0.3</v>
      </c>
      <c r="E142" t="s">
        <v>82</v>
      </c>
      <c r="F142" t="s">
        <v>17</v>
      </c>
      <c r="G142" t="s">
        <v>21</v>
      </c>
      <c r="H142" t="s">
        <v>23</v>
      </c>
      <c r="I142" t="s">
        <v>20</v>
      </c>
      <c r="J142" t="s">
        <v>18</v>
      </c>
      <c r="K142" t="s">
        <v>17</v>
      </c>
      <c r="L142" t="s">
        <v>21</v>
      </c>
      <c r="M142" t="s">
        <v>23</v>
      </c>
      <c r="N142" t="s">
        <v>20</v>
      </c>
      <c r="O142" t="s">
        <v>18</v>
      </c>
    </row>
    <row r="143" spans="1:15">
      <c r="A143" t="s">
        <v>70</v>
      </c>
      <c r="B143">
        <f t="shared" si="5"/>
        <v>0.25</v>
      </c>
      <c r="C143">
        <v>1</v>
      </c>
      <c r="D143">
        <v>0.2</v>
      </c>
      <c r="E143" t="s">
        <v>82</v>
      </c>
      <c r="F143" t="s">
        <v>18</v>
      </c>
      <c r="G143" t="s">
        <v>19</v>
      </c>
      <c r="H143" t="s">
        <v>22</v>
      </c>
      <c r="I143" t="s">
        <v>26</v>
      </c>
      <c r="J143" t="s">
        <v>20</v>
      </c>
      <c r="K143" t="s">
        <v>18</v>
      </c>
    </row>
    <row r="144" spans="1:15">
      <c r="A144" t="s">
        <v>70</v>
      </c>
      <c r="B144">
        <f t="shared" si="5"/>
        <v>0.25</v>
      </c>
      <c r="C144">
        <v>1</v>
      </c>
      <c r="D144">
        <v>9.9999999999999895E-2</v>
      </c>
      <c r="E144" t="s">
        <v>82</v>
      </c>
      <c r="F144" t="s">
        <v>17</v>
      </c>
      <c r="G144" t="s">
        <v>26</v>
      </c>
      <c r="H144" t="s">
        <v>20</v>
      </c>
      <c r="I144" t="s">
        <v>25</v>
      </c>
      <c r="J144" t="s">
        <v>19</v>
      </c>
    </row>
    <row r="145" spans="1:15">
      <c r="A145" t="s">
        <v>70</v>
      </c>
      <c r="B145">
        <f t="shared" si="5"/>
        <v>0.25</v>
      </c>
      <c r="C145">
        <v>1</v>
      </c>
      <c r="D145">
        <v>0</v>
      </c>
      <c r="E145" t="s">
        <v>82</v>
      </c>
      <c r="F145" t="s">
        <v>18</v>
      </c>
      <c r="G145" t="s">
        <v>22</v>
      </c>
      <c r="H145" t="s">
        <v>19</v>
      </c>
      <c r="I145" t="s">
        <v>26</v>
      </c>
      <c r="J145" t="s">
        <v>17</v>
      </c>
    </row>
    <row r="146" spans="1:15">
      <c r="A146" t="s">
        <v>70</v>
      </c>
      <c r="B146">
        <f t="shared" si="5"/>
        <v>0.25</v>
      </c>
      <c r="C146">
        <v>1</v>
      </c>
      <c r="D146">
        <v>-0.1</v>
      </c>
      <c r="E146" t="s">
        <v>82</v>
      </c>
      <c r="F146" t="s">
        <v>21</v>
      </c>
      <c r="G146" t="s">
        <v>26</v>
      </c>
      <c r="H146" t="s">
        <v>19</v>
      </c>
      <c r="I146" t="s">
        <v>24</v>
      </c>
      <c r="J146" t="s">
        <v>25</v>
      </c>
    </row>
    <row r="147" spans="1:15">
      <c r="A147" t="s">
        <v>70</v>
      </c>
      <c r="B147">
        <f t="shared" si="5"/>
        <v>0.25</v>
      </c>
      <c r="C147">
        <v>1</v>
      </c>
      <c r="D147">
        <v>-0.2</v>
      </c>
      <c r="E147" t="s">
        <v>82</v>
      </c>
      <c r="F147" t="s">
        <v>24</v>
      </c>
      <c r="G147" t="s">
        <v>22</v>
      </c>
      <c r="H147" t="s">
        <v>19</v>
      </c>
      <c r="I147" t="s">
        <v>23</v>
      </c>
      <c r="J147" t="s">
        <v>20</v>
      </c>
    </row>
    <row r="148" spans="1:15">
      <c r="A148" t="s">
        <v>70</v>
      </c>
      <c r="B148">
        <f t="shared" si="5"/>
        <v>0.25</v>
      </c>
      <c r="C148">
        <v>1</v>
      </c>
      <c r="D148">
        <v>-0.3</v>
      </c>
      <c r="E148" t="s">
        <v>82</v>
      </c>
      <c r="F148" t="s">
        <v>20</v>
      </c>
      <c r="G148" t="s">
        <v>26</v>
      </c>
      <c r="H148" t="s">
        <v>17</v>
      </c>
      <c r="I148" t="s">
        <v>23</v>
      </c>
      <c r="J148" t="s">
        <v>24</v>
      </c>
    </row>
    <row r="149" spans="1:15">
      <c r="A149" t="s">
        <v>71</v>
      </c>
      <c r="B149">
        <f>1/7.49</f>
        <v>0.13351134846461948</v>
      </c>
      <c r="C149">
        <f>4/7.49</f>
        <v>0.53404539385847793</v>
      </c>
      <c r="D149">
        <v>1.7</v>
      </c>
      <c r="E149" t="s">
        <v>82</v>
      </c>
      <c r="F149" t="s">
        <v>23</v>
      </c>
      <c r="G149" t="s">
        <v>21</v>
      </c>
      <c r="H149" t="s">
        <v>20</v>
      </c>
      <c r="I149" t="s">
        <v>17</v>
      </c>
      <c r="J149" t="s">
        <v>18</v>
      </c>
      <c r="K149" t="s">
        <v>23</v>
      </c>
      <c r="L149" t="s">
        <v>21</v>
      </c>
      <c r="M149" t="s">
        <v>20</v>
      </c>
      <c r="N149" t="s">
        <v>17</v>
      </c>
      <c r="O149" t="s">
        <v>18</v>
      </c>
    </row>
    <row r="150" spans="1:15">
      <c r="A150" t="s">
        <v>71</v>
      </c>
      <c r="B150">
        <f t="shared" ref="B150:B169" si="6">1/7.49</f>
        <v>0.13351134846461948</v>
      </c>
      <c r="C150">
        <f t="shared" ref="C150:C169" si="7">4/7.49</f>
        <v>0.53404539385847793</v>
      </c>
      <c r="D150">
        <v>1.6</v>
      </c>
      <c r="E150" t="s">
        <v>82</v>
      </c>
      <c r="F150" t="s">
        <v>24</v>
      </c>
      <c r="G150" t="s">
        <v>21</v>
      </c>
      <c r="H150" t="s">
        <v>25</v>
      </c>
      <c r="I150" t="s">
        <v>23</v>
      </c>
      <c r="J150" t="s">
        <v>26</v>
      </c>
      <c r="K150" t="s">
        <v>24</v>
      </c>
      <c r="L150" t="s">
        <v>21</v>
      </c>
      <c r="M150" t="s">
        <v>25</v>
      </c>
      <c r="N150" t="s">
        <v>23</v>
      </c>
      <c r="O150" t="s">
        <v>26</v>
      </c>
    </row>
    <row r="151" spans="1:15">
      <c r="A151" t="s">
        <v>71</v>
      </c>
      <c r="B151">
        <f t="shared" si="6"/>
        <v>0.13351134846461948</v>
      </c>
      <c r="C151">
        <f t="shared" si="7"/>
        <v>0.53404539385847793</v>
      </c>
      <c r="D151">
        <v>1.5</v>
      </c>
      <c r="E151" t="s">
        <v>82</v>
      </c>
      <c r="F151" t="s">
        <v>24</v>
      </c>
      <c r="G151" t="s">
        <v>22</v>
      </c>
      <c r="H151" t="s">
        <v>19</v>
      </c>
      <c r="I151" t="s">
        <v>23</v>
      </c>
      <c r="J151" t="s">
        <v>17</v>
      </c>
      <c r="K151" t="s">
        <v>24</v>
      </c>
      <c r="L151" t="s">
        <v>22</v>
      </c>
      <c r="M151" t="s">
        <v>19</v>
      </c>
      <c r="N151" t="s">
        <v>23</v>
      </c>
      <c r="O151" t="s">
        <v>17</v>
      </c>
    </row>
    <row r="152" spans="1:15">
      <c r="A152" t="s">
        <v>71</v>
      </c>
      <c r="B152">
        <f t="shared" si="6"/>
        <v>0.13351134846461948</v>
      </c>
      <c r="C152">
        <f t="shared" si="7"/>
        <v>0.53404539385847793</v>
      </c>
      <c r="D152">
        <v>1.4</v>
      </c>
      <c r="E152" t="s">
        <v>82</v>
      </c>
      <c r="F152" t="s">
        <v>21</v>
      </c>
      <c r="G152" t="s">
        <v>26</v>
      </c>
      <c r="H152" t="s">
        <v>20</v>
      </c>
      <c r="I152" t="s">
        <v>24</v>
      </c>
      <c r="J152" t="s">
        <v>19</v>
      </c>
      <c r="K152" t="s">
        <v>21</v>
      </c>
      <c r="L152" t="s">
        <v>26</v>
      </c>
      <c r="M152" t="s">
        <v>20</v>
      </c>
      <c r="N152" t="s">
        <v>24</v>
      </c>
      <c r="O152" t="s">
        <v>19</v>
      </c>
    </row>
    <row r="153" spans="1:15">
      <c r="A153" t="s">
        <v>71</v>
      </c>
      <c r="B153">
        <f t="shared" si="6"/>
        <v>0.13351134846461948</v>
      </c>
      <c r="C153">
        <f t="shared" si="7"/>
        <v>0.53404539385847793</v>
      </c>
      <c r="D153">
        <v>1.3</v>
      </c>
      <c r="E153" t="s">
        <v>82</v>
      </c>
      <c r="F153" t="s">
        <v>18</v>
      </c>
      <c r="G153" t="s">
        <v>23</v>
      </c>
      <c r="H153" t="s">
        <v>19</v>
      </c>
      <c r="I153" t="s">
        <v>24</v>
      </c>
      <c r="J153" t="s">
        <v>17</v>
      </c>
      <c r="K153" t="s">
        <v>18</v>
      </c>
      <c r="L153" t="s">
        <v>23</v>
      </c>
      <c r="M153" t="s">
        <v>19</v>
      </c>
      <c r="N153" t="s">
        <v>24</v>
      </c>
      <c r="O153" t="s">
        <v>17</v>
      </c>
    </row>
    <row r="154" spans="1:15">
      <c r="A154" t="s">
        <v>71</v>
      </c>
      <c r="B154">
        <f t="shared" si="6"/>
        <v>0.13351134846461948</v>
      </c>
      <c r="C154">
        <f t="shared" si="7"/>
        <v>0.53404539385847793</v>
      </c>
      <c r="D154">
        <v>1.2</v>
      </c>
      <c r="E154" t="s">
        <v>82</v>
      </c>
      <c r="F154" t="s">
        <v>24</v>
      </c>
      <c r="G154" t="s">
        <v>20</v>
      </c>
      <c r="H154" t="s">
        <v>25</v>
      </c>
      <c r="I154" t="s">
        <v>21</v>
      </c>
      <c r="J154" t="s">
        <v>17</v>
      </c>
      <c r="K154" t="s">
        <v>24</v>
      </c>
      <c r="L154" t="s">
        <v>20</v>
      </c>
      <c r="M154" t="s">
        <v>25</v>
      </c>
      <c r="N154" t="s">
        <v>21</v>
      </c>
      <c r="O154" t="s">
        <v>17</v>
      </c>
    </row>
    <row r="155" spans="1:15">
      <c r="A155" t="s">
        <v>71</v>
      </c>
      <c r="B155">
        <f t="shared" si="6"/>
        <v>0.13351134846461948</v>
      </c>
      <c r="C155">
        <f t="shared" si="7"/>
        <v>0.53404539385847793</v>
      </c>
      <c r="D155">
        <v>1.1000000000000001</v>
      </c>
      <c r="E155" t="s">
        <v>82</v>
      </c>
      <c r="F155" t="s">
        <v>19</v>
      </c>
      <c r="G155" t="s">
        <v>22</v>
      </c>
      <c r="H155" t="s">
        <v>17</v>
      </c>
      <c r="I155" t="s">
        <v>26</v>
      </c>
      <c r="J155" t="s">
        <v>25</v>
      </c>
      <c r="K155" t="s">
        <v>19</v>
      </c>
      <c r="L155" t="s">
        <v>22</v>
      </c>
      <c r="M155" t="s">
        <v>17</v>
      </c>
      <c r="N155" t="s">
        <v>26</v>
      </c>
      <c r="O155" t="s">
        <v>25</v>
      </c>
    </row>
    <row r="156" spans="1:15">
      <c r="A156" t="s">
        <v>71</v>
      </c>
      <c r="B156">
        <f t="shared" si="6"/>
        <v>0.13351134846461948</v>
      </c>
      <c r="C156">
        <f t="shared" si="7"/>
        <v>0.53404539385847793</v>
      </c>
      <c r="D156">
        <v>1</v>
      </c>
      <c r="E156" t="s">
        <v>82</v>
      </c>
      <c r="F156" t="s">
        <v>18</v>
      </c>
      <c r="G156" t="s">
        <v>24</v>
      </c>
      <c r="H156" t="s">
        <v>26</v>
      </c>
      <c r="I156" t="s">
        <v>21</v>
      </c>
      <c r="J156" t="s">
        <v>22</v>
      </c>
      <c r="K156" t="s">
        <v>18</v>
      </c>
      <c r="L156" t="s">
        <v>24</v>
      </c>
      <c r="M156" t="s">
        <v>26</v>
      </c>
      <c r="N156" t="s">
        <v>21</v>
      </c>
      <c r="O156" t="s">
        <v>22</v>
      </c>
    </row>
    <row r="157" spans="1:15">
      <c r="A157" t="s">
        <v>71</v>
      </c>
      <c r="B157">
        <f t="shared" si="6"/>
        <v>0.13351134846461948</v>
      </c>
      <c r="C157">
        <f t="shared" si="7"/>
        <v>0.53404539385847793</v>
      </c>
      <c r="D157">
        <v>0.90000000000000102</v>
      </c>
      <c r="E157" t="s">
        <v>82</v>
      </c>
      <c r="F157" t="s">
        <v>22</v>
      </c>
      <c r="G157" t="s">
        <v>24</v>
      </c>
      <c r="H157" t="s">
        <v>17</v>
      </c>
      <c r="I157" t="s">
        <v>18</v>
      </c>
      <c r="J157" t="s">
        <v>19</v>
      </c>
      <c r="K157" t="s">
        <v>22</v>
      </c>
      <c r="L157" t="s">
        <v>24</v>
      </c>
      <c r="M157" t="s">
        <v>17</v>
      </c>
      <c r="N157" t="s">
        <v>18</v>
      </c>
      <c r="O157" t="s">
        <v>19</v>
      </c>
    </row>
    <row r="158" spans="1:15">
      <c r="A158" t="s">
        <v>71</v>
      </c>
      <c r="B158">
        <f t="shared" si="6"/>
        <v>0.13351134846461948</v>
      </c>
      <c r="C158">
        <f t="shared" si="7"/>
        <v>0.53404539385847793</v>
      </c>
      <c r="D158">
        <v>0.80000000000000104</v>
      </c>
      <c r="E158" t="s">
        <v>82</v>
      </c>
      <c r="F158" t="s">
        <v>24</v>
      </c>
      <c r="G158" t="s">
        <v>23</v>
      </c>
      <c r="H158" t="s">
        <v>20</v>
      </c>
      <c r="I158" t="s">
        <v>25</v>
      </c>
      <c r="J158" t="s">
        <v>17</v>
      </c>
      <c r="K158" t="s">
        <v>24</v>
      </c>
      <c r="L158" t="s">
        <v>23</v>
      </c>
      <c r="M158" t="s">
        <v>20</v>
      </c>
      <c r="N158" t="s">
        <v>25</v>
      </c>
      <c r="O158" t="s">
        <v>17</v>
      </c>
    </row>
    <row r="159" spans="1:15">
      <c r="A159" t="s">
        <v>71</v>
      </c>
      <c r="B159">
        <f t="shared" si="6"/>
        <v>0.13351134846461948</v>
      </c>
      <c r="C159">
        <f t="shared" si="7"/>
        <v>0.53404539385847793</v>
      </c>
      <c r="D159">
        <v>0.70000000000000095</v>
      </c>
      <c r="E159" t="s">
        <v>82</v>
      </c>
      <c r="F159" t="s">
        <v>25</v>
      </c>
      <c r="G159" t="s">
        <v>19</v>
      </c>
      <c r="H159" t="s">
        <v>23</v>
      </c>
      <c r="I159" t="s">
        <v>21</v>
      </c>
      <c r="J159" t="s">
        <v>24</v>
      </c>
      <c r="K159" t="s">
        <v>25</v>
      </c>
      <c r="L159" t="s">
        <v>19</v>
      </c>
      <c r="M159" t="s">
        <v>23</v>
      </c>
      <c r="N159" t="s">
        <v>21</v>
      </c>
    </row>
    <row r="160" spans="1:15">
      <c r="A160" t="s">
        <v>71</v>
      </c>
      <c r="B160">
        <f t="shared" si="6"/>
        <v>0.13351134846461948</v>
      </c>
      <c r="C160">
        <f t="shared" si="7"/>
        <v>0.53404539385847793</v>
      </c>
      <c r="D160">
        <v>0.6</v>
      </c>
      <c r="E160" t="s">
        <v>82</v>
      </c>
      <c r="F160" t="s">
        <v>21</v>
      </c>
      <c r="G160" t="s">
        <v>17</v>
      </c>
      <c r="H160" t="s">
        <v>22</v>
      </c>
      <c r="I160" t="s">
        <v>26</v>
      </c>
      <c r="J160" t="s">
        <v>18</v>
      </c>
      <c r="K160" t="s">
        <v>21</v>
      </c>
      <c r="L160" t="s">
        <v>17</v>
      </c>
      <c r="M160" t="s">
        <v>22</v>
      </c>
      <c r="N160" t="s">
        <v>26</v>
      </c>
      <c r="O160" t="s">
        <v>18</v>
      </c>
    </row>
    <row r="161" spans="1:15">
      <c r="A161" t="s">
        <v>71</v>
      </c>
      <c r="B161">
        <f t="shared" si="6"/>
        <v>0.13351134846461948</v>
      </c>
      <c r="C161">
        <f t="shared" si="7"/>
        <v>0.53404539385847793</v>
      </c>
      <c r="D161">
        <v>0.5</v>
      </c>
      <c r="E161" t="s">
        <v>82</v>
      </c>
      <c r="F161" t="s">
        <v>25</v>
      </c>
      <c r="G161" t="s">
        <v>26</v>
      </c>
      <c r="H161" t="s">
        <v>17</v>
      </c>
      <c r="I161" t="s">
        <v>20</v>
      </c>
      <c r="J161" t="s">
        <v>23</v>
      </c>
      <c r="K161" t="s">
        <v>25</v>
      </c>
      <c r="L161" t="s">
        <v>26</v>
      </c>
      <c r="N161" t="s">
        <v>20</v>
      </c>
    </row>
    <row r="162" spans="1:15">
      <c r="A162" t="s">
        <v>71</v>
      </c>
      <c r="B162">
        <f t="shared" si="6"/>
        <v>0.13351134846461948</v>
      </c>
      <c r="C162">
        <f t="shared" si="7"/>
        <v>0.53404539385847793</v>
      </c>
      <c r="D162">
        <v>0.4</v>
      </c>
      <c r="E162" t="s">
        <v>82</v>
      </c>
      <c r="F162" t="s">
        <v>22</v>
      </c>
      <c r="G162" t="s">
        <v>21</v>
      </c>
      <c r="H162" t="s">
        <v>25</v>
      </c>
      <c r="I162" t="s">
        <v>24</v>
      </c>
      <c r="J162" t="s">
        <v>19</v>
      </c>
    </row>
    <row r="163" spans="1:15">
      <c r="A163" t="s">
        <v>71</v>
      </c>
      <c r="B163">
        <f t="shared" si="6"/>
        <v>0.13351134846461948</v>
      </c>
      <c r="C163">
        <f t="shared" si="7"/>
        <v>0.53404539385847793</v>
      </c>
      <c r="D163">
        <v>0.3</v>
      </c>
      <c r="E163" t="s">
        <v>82</v>
      </c>
      <c r="F163" t="s">
        <v>23</v>
      </c>
      <c r="G163" t="s">
        <v>22</v>
      </c>
      <c r="H163" t="s">
        <v>24</v>
      </c>
      <c r="I163" t="s">
        <v>21</v>
      </c>
      <c r="J163" t="s">
        <v>19</v>
      </c>
    </row>
    <row r="164" spans="1:15">
      <c r="A164" t="s">
        <v>71</v>
      </c>
      <c r="B164">
        <f t="shared" si="6"/>
        <v>0.13351134846461948</v>
      </c>
      <c r="C164">
        <f t="shared" si="7"/>
        <v>0.53404539385847793</v>
      </c>
      <c r="D164">
        <v>0.2</v>
      </c>
      <c r="E164" t="s">
        <v>82</v>
      </c>
      <c r="F164" t="s">
        <v>24</v>
      </c>
      <c r="G164" t="s">
        <v>22</v>
      </c>
      <c r="H164" t="s">
        <v>21</v>
      </c>
      <c r="I164" t="s">
        <v>26</v>
      </c>
      <c r="J164" t="s">
        <v>25</v>
      </c>
    </row>
    <row r="165" spans="1:15">
      <c r="A165" t="s">
        <v>71</v>
      </c>
      <c r="B165">
        <f t="shared" si="6"/>
        <v>0.13351134846461948</v>
      </c>
      <c r="C165">
        <f t="shared" si="7"/>
        <v>0.53404539385847793</v>
      </c>
      <c r="D165">
        <v>9.9999999999999895E-2</v>
      </c>
      <c r="E165" t="s">
        <v>82</v>
      </c>
      <c r="F165" t="s">
        <v>26</v>
      </c>
      <c r="G165" t="s">
        <v>19</v>
      </c>
      <c r="H165" t="s">
        <v>23</v>
      </c>
      <c r="I165" t="s">
        <v>17</v>
      </c>
      <c r="J165" t="s">
        <v>24</v>
      </c>
    </row>
    <row r="166" spans="1:15">
      <c r="A166" t="s">
        <v>71</v>
      </c>
      <c r="B166">
        <f t="shared" si="6"/>
        <v>0.13351134846461948</v>
      </c>
      <c r="C166">
        <f t="shared" si="7"/>
        <v>0.53404539385847793</v>
      </c>
      <c r="D166">
        <v>0</v>
      </c>
      <c r="E166" t="s">
        <v>82</v>
      </c>
      <c r="F166" t="s">
        <v>18</v>
      </c>
      <c r="G166" t="s">
        <v>24</v>
      </c>
      <c r="H166" t="s">
        <v>21</v>
      </c>
      <c r="I166" t="s">
        <v>23</v>
      </c>
      <c r="J166" t="s">
        <v>22</v>
      </c>
    </row>
    <row r="167" spans="1:15">
      <c r="A167" t="s">
        <v>71</v>
      </c>
      <c r="B167">
        <f t="shared" si="6"/>
        <v>0.13351134846461948</v>
      </c>
      <c r="C167">
        <f t="shared" si="7"/>
        <v>0.53404539385847793</v>
      </c>
      <c r="D167">
        <v>-0.1</v>
      </c>
      <c r="E167" t="s">
        <v>82</v>
      </c>
      <c r="F167" t="s">
        <v>24</v>
      </c>
      <c r="G167" t="s">
        <v>22</v>
      </c>
      <c r="H167" t="s">
        <v>26</v>
      </c>
      <c r="I167" t="s">
        <v>17</v>
      </c>
      <c r="J167" t="s">
        <v>25</v>
      </c>
    </row>
    <row r="168" spans="1:15">
      <c r="A168" t="s">
        <v>71</v>
      </c>
      <c r="B168">
        <f t="shared" si="6"/>
        <v>0.13351134846461948</v>
      </c>
      <c r="C168">
        <f t="shared" si="7"/>
        <v>0.53404539385847793</v>
      </c>
      <c r="D168">
        <v>-0.2</v>
      </c>
      <c r="E168" t="s">
        <v>82</v>
      </c>
      <c r="F168" t="s">
        <v>17</v>
      </c>
      <c r="G168" t="s">
        <v>22</v>
      </c>
      <c r="H168" t="s">
        <v>26</v>
      </c>
      <c r="I168" t="s">
        <v>19</v>
      </c>
      <c r="J168" t="s">
        <v>24</v>
      </c>
    </row>
    <row r="169" spans="1:15">
      <c r="A169" t="s">
        <v>71</v>
      </c>
      <c r="B169">
        <f t="shared" si="6"/>
        <v>0.13351134846461948</v>
      </c>
      <c r="C169">
        <f t="shared" si="7"/>
        <v>0.53404539385847793</v>
      </c>
      <c r="D169">
        <v>-0.3</v>
      </c>
      <c r="E169" t="s">
        <v>82</v>
      </c>
      <c r="F169" t="s">
        <v>18</v>
      </c>
      <c r="G169" t="s">
        <v>24</v>
      </c>
      <c r="H169" t="s">
        <v>21</v>
      </c>
      <c r="I169" t="s">
        <v>22</v>
      </c>
      <c r="J169" t="s">
        <v>17</v>
      </c>
    </row>
    <row r="170" spans="1:15">
      <c r="A170" t="s">
        <v>72</v>
      </c>
      <c r="B170">
        <f>1/13.92</f>
        <v>7.183908045977011E-2</v>
      </c>
      <c r="C170">
        <f>4/13.92</f>
        <v>0.28735632183908044</v>
      </c>
      <c r="D170">
        <v>1.7</v>
      </c>
      <c r="E170" t="s">
        <v>82</v>
      </c>
      <c r="F170" t="s">
        <v>20</v>
      </c>
      <c r="G170" t="s">
        <v>18</v>
      </c>
      <c r="H170" t="s">
        <v>25</v>
      </c>
      <c r="I170" t="s">
        <v>22</v>
      </c>
      <c r="J170" t="s">
        <v>21</v>
      </c>
      <c r="K170" t="s">
        <v>20</v>
      </c>
      <c r="L170" t="s">
        <v>18</v>
      </c>
      <c r="M170" t="s">
        <v>25</v>
      </c>
      <c r="N170" t="s">
        <v>22</v>
      </c>
      <c r="O170" t="s">
        <v>21</v>
      </c>
    </row>
    <row r="171" spans="1:15">
      <c r="A171" t="s">
        <v>72</v>
      </c>
      <c r="B171">
        <f t="shared" ref="B171:B190" si="8">1/13.92</f>
        <v>7.183908045977011E-2</v>
      </c>
      <c r="C171">
        <f t="shared" ref="C171:C190" si="9">4/13.92</f>
        <v>0.28735632183908044</v>
      </c>
      <c r="D171">
        <v>1.6</v>
      </c>
      <c r="E171" t="s">
        <v>82</v>
      </c>
      <c r="F171" t="s">
        <v>26</v>
      </c>
      <c r="G171" t="s">
        <v>19</v>
      </c>
      <c r="H171" t="s">
        <v>23</v>
      </c>
      <c r="I171" t="s">
        <v>20</v>
      </c>
      <c r="J171" t="s">
        <v>25</v>
      </c>
      <c r="K171" t="s">
        <v>26</v>
      </c>
      <c r="L171" t="s">
        <v>19</v>
      </c>
      <c r="M171" t="s">
        <v>23</v>
      </c>
      <c r="N171" t="s">
        <v>20</v>
      </c>
      <c r="O171" t="s">
        <v>25</v>
      </c>
    </row>
    <row r="172" spans="1:15">
      <c r="A172" t="s">
        <v>72</v>
      </c>
      <c r="B172">
        <f t="shared" si="8"/>
        <v>7.183908045977011E-2</v>
      </c>
      <c r="C172">
        <f t="shared" si="9"/>
        <v>0.28735632183908044</v>
      </c>
      <c r="D172">
        <v>1.5</v>
      </c>
      <c r="E172" t="s">
        <v>82</v>
      </c>
      <c r="F172" t="s">
        <v>22</v>
      </c>
      <c r="G172" t="s">
        <v>18</v>
      </c>
      <c r="H172" t="s">
        <v>20</v>
      </c>
      <c r="I172" t="s">
        <v>23</v>
      </c>
      <c r="J172" t="s">
        <v>17</v>
      </c>
      <c r="K172" t="s">
        <v>22</v>
      </c>
      <c r="L172" t="s">
        <v>18</v>
      </c>
      <c r="M172" t="s">
        <v>20</v>
      </c>
      <c r="N172" t="s">
        <v>23</v>
      </c>
      <c r="O172" t="s">
        <v>17</v>
      </c>
    </row>
    <row r="173" spans="1:15">
      <c r="A173" t="s">
        <v>72</v>
      </c>
      <c r="B173">
        <f t="shared" si="8"/>
        <v>7.183908045977011E-2</v>
      </c>
      <c r="C173">
        <f t="shared" si="9"/>
        <v>0.28735632183908044</v>
      </c>
      <c r="D173">
        <v>1.4</v>
      </c>
      <c r="E173" t="s">
        <v>82</v>
      </c>
      <c r="F173" t="s">
        <v>26</v>
      </c>
      <c r="G173" t="s">
        <v>18</v>
      </c>
      <c r="H173" t="s">
        <v>22</v>
      </c>
      <c r="I173" t="s">
        <v>24</v>
      </c>
      <c r="J173" t="s">
        <v>19</v>
      </c>
      <c r="K173" t="s">
        <v>26</v>
      </c>
      <c r="L173" t="s">
        <v>18</v>
      </c>
      <c r="M173" t="s">
        <v>22</v>
      </c>
      <c r="N173" t="s">
        <v>24</v>
      </c>
      <c r="O173" t="s">
        <v>19</v>
      </c>
    </row>
    <row r="174" spans="1:15">
      <c r="A174" t="s">
        <v>72</v>
      </c>
      <c r="B174">
        <f t="shared" si="8"/>
        <v>7.183908045977011E-2</v>
      </c>
      <c r="C174">
        <f t="shared" si="9"/>
        <v>0.28735632183908044</v>
      </c>
      <c r="D174">
        <v>1.3</v>
      </c>
      <c r="E174" t="s">
        <v>82</v>
      </c>
      <c r="F174" t="s">
        <v>22</v>
      </c>
      <c r="G174" t="s">
        <v>17</v>
      </c>
      <c r="H174" t="s">
        <v>25</v>
      </c>
      <c r="I174" t="s">
        <v>23</v>
      </c>
      <c r="J174" t="s">
        <v>19</v>
      </c>
      <c r="K174" t="s">
        <v>22</v>
      </c>
      <c r="L174" t="s">
        <v>17</v>
      </c>
      <c r="M174" t="s">
        <v>25</v>
      </c>
      <c r="N174" t="s">
        <v>23</v>
      </c>
      <c r="O174" t="s">
        <v>19</v>
      </c>
    </row>
    <row r="175" spans="1:15">
      <c r="A175" t="s">
        <v>72</v>
      </c>
      <c r="B175">
        <f t="shared" si="8"/>
        <v>7.183908045977011E-2</v>
      </c>
      <c r="C175">
        <f t="shared" si="9"/>
        <v>0.28735632183908044</v>
      </c>
      <c r="D175">
        <v>1.2</v>
      </c>
      <c r="E175" t="s">
        <v>82</v>
      </c>
      <c r="F175" t="s">
        <v>23</v>
      </c>
      <c r="G175" t="s">
        <v>17</v>
      </c>
      <c r="H175" t="s">
        <v>22</v>
      </c>
      <c r="I175" t="s">
        <v>18</v>
      </c>
      <c r="J175" t="s">
        <v>26</v>
      </c>
      <c r="K175" t="s">
        <v>23</v>
      </c>
      <c r="L175" t="s">
        <v>17</v>
      </c>
      <c r="M175" t="s">
        <v>22</v>
      </c>
      <c r="N175" t="s">
        <v>18</v>
      </c>
      <c r="O175" t="s">
        <v>26</v>
      </c>
    </row>
    <row r="176" spans="1:15">
      <c r="A176" t="s">
        <v>72</v>
      </c>
      <c r="B176">
        <f t="shared" si="8"/>
        <v>7.183908045977011E-2</v>
      </c>
      <c r="C176">
        <f t="shared" si="9"/>
        <v>0.28735632183908044</v>
      </c>
      <c r="D176">
        <v>1.1000000000000001</v>
      </c>
      <c r="E176" t="s">
        <v>82</v>
      </c>
      <c r="F176" t="s">
        <v>23</v>
      </c>
      <c r="G176" t="s">
        <v>22</v>
      </c>
      <c r="H176" t="s">
        <v>24</v>
      </c>
      <c r="I176" t="s">
        <v>26</v>
      </c>
      <c r="J176" t="s">
        <v>17</v>
      </c>
      <c r="K176" t="s">
        <v>23</v>
      </c>
      <c r="L176" t="s">
        <v>22</v>
      </c>
      <c r="M176" t="s">
        <v>24</v>
      </c>
      <c r="N176" t="s">
        <v>26</v>
      </c>
      <c r="O176" t="s">
        <v>17</v>
      </c>
    </row>
    <row r="177" spans="1:15">
      <c r="A177" t="s">
        <v>72</v>
      </c>
      <c r="B177">
        <f t="shared" si="8"/>
        <v>7.183908045977011E-2</v>
      </c>
      <c r="C177">
        <f t="shared" si="9"/>
        <v>0.28735632183908044</v>
      </c>
      <c r="D177">
        <v>1</v>
      </c>
      <c r="E177" t="s">
        <v>82</v>
      </c>
      <c r="F177" t="s">
        <v>24</v>
      </c>
      <c r="G177" t="s">
        <v>21</v>
      </c>
      <c r="H177" t="s">
        <v>20</v>
      </c>
      <c r="I177" t="s">
        <v>18</v>
      </c>
      <c r="J177" t="s">
        <v>26</v>
      </c>
      <c r="K177" t="s">
        <v>24</v>
      </c>
      <c r="L177" t="s">
        <v>21</v>
      </c>
      <c r="M177" t="s">
        <v>20</v>
      </c>
      <c r="N177" t="s">
        <v>18</v>
      </c>
      <c r="O177" t="s">
        <v>26</v>
      </c>
    </row>
    <row r="178" spans="1:15">
      <c r="A178" t="s">
        <v>72</v>
      </c>
      <c r="B178">
        <f t="shared" si="8"/>
        <v>7.183908045977011E-2</v>
      </c>
      <c r="C178">
        <f t="shared" si="9"/>
        <v>0.28735632183908044</v>
      </c>
      <c r="D178">
        <v>0.90000000000000102</v>
      </c>
      <c r="E178" t="s">
        <v>82</v>
      </c>
      <c r="F178" t="s">
        <v>18</v>
      </c>
      <c r="G178" t="s">
        <v>17</v>
      </c>
      <c r="H178" t="s">
        <v>19</v>
      </c>
      <c r="I178" t="s">
        <v>20</v>
      </c>
      <c r="J178" t="s">
        <v>23</v>
      </c>
      <c r="L178" t="s">
        <v>17</v>
      </c>
      <c r="M178" t="s">
        <v>19</v>
      </c>
      <c r="O178" t="s">
        <v>23</v>
      </c>
    </row>
    <row r="179" spans="1:15">
      <c r="A179" t="s">
        <v>72</v>
      </c>
      <c r="B179">
        <f t="shared" si="8"/>
        <v>7.183908045977011E-2</v>
      </c>
      <c r="C179">
        <f t="shared" si="9"/>
        <v>0.28735632183908044</v>
      </c>
      <c r="D179">
        <v>0.80000000000000104</v>
      </c>
      <c r="E179" t="s">
        <v>82</v>
      </c>
      <c r="F179" t="s">
        <v>18</v>
      </c>
      <c r="G179" t="s">
        <v>24</v>
      </c>
      <c r="H179" t="s">
        <v>22</v>
      </c>
      <c r="I179" t="s">
        <v>25</v>
      </c>
      <c r="J179" t="s">
        <v>26</v>
      </c>
    </row>
    <row r="180" spans="1:15">
      <c r="A180" t="s">
        <v>72</v>
      </c>
      <c r="B180">
        <f t="shared" si="8"/>
        <v>7.183908045977011E-2</v>
      </c>
      <c r="C180">
        <f t="shared" si="9"/>
        <v>0.28735632183908044</v>
      </c>
      <c r="D180">
        <v>0.70000000000000095</v>
      </c>
      <c r="E180" t="s">
        <v>82</v>
      </c>
      <c r="F180" t="s">
        <v>22</v>
      </c>
      <c r="G180" t="s">
        <v>19</v>
      </c>
      <c r="H180" t="s">
        <v>23</v>
      </c>
      <c r="I180" t="s">
        <v>25</v>
      </c>
      <c r="J180" t="s">
        <v>17</v>
      </c>
    </row>
    <row r="181" spans="1:15">
      <c r="A181" t="s">
        <v>72</v>
      </c>
      <c r="B181">
        <f t="shared" si="8"/>
        <v>7.183908045977011E-2</v>
      </c>
      <c r="C181">
        <f t="shared" si="9"/>
        <v>0.28735632183908044</v>
      </c>
      <c r="D181">
        <v>0.6</v>
      </c>
      <c r="E181" t="s">
        <v>82</v>
      </c>
      <c r="F181" t="s">
        <v>19</v>
      </c>
      <c r="G181" t="s">
        <v>21</v>
      </c>
      <c r="H181" t="s">
        <v>22</v>
      </c>
      <c r="I181" t="s">
        <v>26</v>
      </c>
      <c r="J181" t="s">
        <v>23</v>
      </c>
    </row>
    <row r="182" spans="1:15">
      <c r="A182" t="s">
        <v>72</v>
      </c>
      <c r="B182">
        <f t="shared" si="8"/>
        <v>7.183908045977011E-2</v>
      </c>
      <c r="C182">
        <f t="shared" si="9"/>
        <v>0.28735632183908044</v>
      </c>
      <c r="D182">
        <v>0.5</v>
      </c>
      <c r="E182" t="s">
        <v>82</v>
      </c>
      <c r="F182" t="s">
        <v>26</v>
      </c>
      <c r="G182" t="s">
        <v>17</v>
      </c>
      <c r="H182" t="s">
        <v>24</v>
      </c>
      <c r="I182" t="s">
        <v>25</v>
      </c>
      <c r="J182" t="s">
        <v>23</v>
      </c>
    </row>
    <row r="183" spans="1:15">
      <c r="A183" t="s">
        <v>72</v>
      </c>
      <c r="B183">
        <f t="shared" si="8"/>
        <v>7.183908045977011E-2</v>
      </c>
      <c r="C183">
        <f t="shared" si="9"/>
        <v>0.28735632183908044</v>
      </c>
      <c r="D183">
        <v>0.4</v>
      </c>
      <c r="E183" t="s">
        <v>82</v>
      </c>
      <c r="F183" t="s">
        <v>26</v>
      </c>
      <c r="G183" t="s">
        <v>25</v>
      </c>
      <c r="H183" t="s">
        <v>18</v>
      </c>
      <c r="I183" t="s">
        <v>24</v>
      </c>
      <c r="J183" t="s">
        <v>17</v>
      </c>
    </row>
    <row r="184" spans="1:15">
      <c r="A184" t="s">
        <v>72</v>
      </c>
      <c r="B184">
        <f t="shared" si="8"/>
        <v>7.183908045977011E-2</v>
      </c>
      <c r="C184">
        <f t="shared" si="9"/>
        <v>0.28735632183908044</v>
      </c>
      <c r="D184">
        <v>0.3</v>
      </c>
      <c r="E184" t="s">
        <v>82</v>
      </c>
      <c r="F184" t="s">
        <v>23</v>
      </c>
      <c r="G184" t="s">
        <v>25</v>
      </c>
      <c r="H184" t="s">
        <v>20</v>
      </c>
      <c r="I184" t="s">
        <v>24</v>
      </c>
      <c r="J184" t="s">
        <v>19</v>
      </c>
    </row>
    <row r="185" spans="1:15">
      <c r="A185" t="s">
        <v>72</v>
      </c>
      <c r="B185">
        <f t="shared" si="8"/>
        <v>7.183908045977011E-2</v>
      </c>
      <c r="C185">
        <f t="shared" si="9"/>
        <v>0.28735632183908044</v>
      </c>
      <c r="D185">
        <v>0.2</v>
      </c>
      <c r="E185" t="s">
        <v>82</v>
      </c>
      <c r="F185" t="s">
        <v>26</v>
      </c>
      <c r="G185" t="s">
        <v>19</v>
      </c>
      <c r="H185" t="s">
        <v>17</v>
      </c>
      <c r="I185" t="s">
        <v>20</v>
      </c>
      <c r="J185" t="s">
        <v>22</v>
      </c>
    </row>
    <row r="186" spans="1:15">
      <c r="A186" t="s">
        <v>72</v>
      </c>
      <c r="B186">
        <f t="shared" si="8"/>
        <v>7.183908045977011E-2</v>
      </c>
      <c r="C186">
        <f t="shared" si="9"/>
        <v>0.28735632183908044</v>
      </c>
      <c r="D186">
        <v>9.9999999999999895E-2</v>
      </c>
      <c r="E186" t="s">
        <v>82</v>
      </c>
      <c r="F186" t="s">
        <v>20</v>
      </c>
      <c r="G186" t="s">
        <v>26</v>
      </c>
      <c r="H186" t="s">
        <v>18</v>
      </c>
      <c r="I186" t="s">
        <v>17</v>
      </c>
      <c r="J186" t="s">
        <v>22</v>
      </c>
    </row>
    <row r="187" spans="1:15">
      <c r="A187" t="s">
        <v>72</v>
      </c>
      <c r="B187">
        <f t="shared" si="8"/>
        <v>7.183908045977011E-2</v>
      </c>
      <c r="C187">
        <f t="shared" si="9"/>
        <v>0.28735632183908044</v>
      </c>
      <c r="D187">
        <v>0</v>
      </c>
      <c r="E187" t="s">
        <v>82</v>
      </c>
      <c r="F187" t="s">
        <v>25</v>
      </c>
      <c r="G187" t="s">
        <v>26</v>
      </c>
      <c r="H187" t="s">
        <v>20</v>
      </c>
      <c r="I187" t="s">
        <v>22</v>
      </c>
      <c r="J187" t="s">
        <v>24</v>
      </c>
    </row>
    <row r="188" spans="1:15">
      <c r="A188" t="s">
        <v>72</v>
      </c>
      <c r="B188">
        <f t="shared" si="8"/>
        <v>7.183908045977011E-2</v>
      </c>
      <c r="C188">
        <f t="shared" si="9"/>
        <v>0.28735632183908044</v>
      </c>
      <c r="D188">
        <v>-0.1</v>
      </c>
      <c r="E188" t="s">
        <v>82</v>
      </c>
      <c r="F188" t="s">
        <v>22</v>
      </c>
      <c r="G188" t="s">
        <v>25</v>
      </c>
      <c r="H188" t="s">
        <v>19</v>
      </c>
      <c r="I188" t="s">
        <v>17</v>
      </c>
      <c r="J188" t="s">
        <v>18</v>
      </c>
    </row>
    <row r="189" spans="1:15">
      <c r="A189" t="s">
        <v>72</v>
      </c>
      <c r="B189">
        <f t="shared" si="8"/>
        <v>7.183908045977011E-2</v>
      </c>
      <c r="C189">
        <f t="shared" si="9"/>
        <v>0.28735632183908044</v>
      </c>
      <c r="D189">
        <v>-0.2</v>
      </c>
      <c r="E189" t="s">
        <v>82</v>
      </c>
      <c r="F189" t="s">
        <v>25</v>
      </c>
      <c r="G189" t="s">
        <v>21</v>
      </c>
      <c r="H189" t="s">
        <v>20</v>
      </c>
      <c r="I189" t="s">
        <v>19</v>
      </c>
      <c r="J189" t="s">
        <v>24</v>
      </c>
    </row>
    <row r="190" spans="1:15">
      <c r="A190" t="s">
        <v>72</v>
      </c>
      <c r="B190">
        <f t="shared" si="8"/>
        <v>7.183908045977011E-2</v>
      </c>
      <c r="C190">
        <f t="shared" si="9"/>
        <v>0.28735632183908044</v>
      </c>
      <c r="D190">
        <v>-0.3</v>
      </c>
      <c r="E190" t="s">
        <v>82</v>
      </c>
      <c r="F190" t="s">
        <v>21</v>
      </c>
      <c r="G190" t="s">
        <v>18</v>
      </c>
      <c r="H190" t="s">
        <v>20</v>
      </c>
      <c r="I190" t="s">
        <v>19</v>
      </c>
      <c r="J190" t="s">
        <v>22</v>
      </c>
    </row>
    <row r="191" spans="1:15">
      <c r="A191" t="s">
        <v>73</v>
      </c>
      <c r="B191">
        <f>1/25.62</f>
        <v>3.9032006245121001E-2</v>
      </c>
      <c r="C191">
        <f>4/25.62</f>
        <v>0.156128024980484</v>
      </c>
      <c r="D191">
        <v>1.7</v>
      </c>
      <c r="E191" t="s">
        <v>82</v>
      </c>
      <c r="F191" t="s">
        <v>18</v>
      </c>
      <c r="G191" t="s">
        <v>19</v>
      </c>
      <c r="H191" t="s">
        <v>21</v>
      </c>
      <c r="I191" t="s">
        <v>23</v>
      </c>
      <c r="J191" t="s">
        <v>17</v>
      </c>
      <c r="K191" t="s">
        <v>18</v>
      </c>
      <c r="L191" t="s">
        <v>19</v>
      </c>
      <c r="M191" t="s">
        <v>21</v>
      </c>
      <c r="N191" t="s">
        <v>23</v>
      </c>
      <c r="O191" t="s">
        <v>17</v>
      </c>
    </row>
    <row r="192" spans="1:15">
      <c r="A192" t="s">
        <v>73</v>
      </c>
      <c r="B192">
        <f t="shared" ref="B192:B211" si="10">1/25.62</f>
        <v>3.9032006245121001E-2</v>
      </c>
      <c r="C192">
        <f t="shared" ref="C192:C211" si="11">4/25.62</f>
        <v>0.156128024980484</v>
      </c>
      <c r="D192">
        <v>1.6</v>
      </c>
      <c r="E192" t="s">
        <v>82</v>
      </c>
      <c r="F192" t="s">
        <v>17</v>
      </c>
      <c r="G192" t="s">
        <v>20</v>
      </c>
      <c r="H192" t="s">
        <v>18</v>
      </c>
      <c r="I192" t="s">
        <v>22</v>
      </c>
      <c r="J192" t="s">
        <v>21</v>
      </c>
      <c r="K192" t="s">
        <v>17</v>
      </c>
      <c r="L192" t="s">
        <v>20</v>
      </c>
      <c r="M192" t="s">
        <v>18</v>
      </c>
      <c r="N192" t="s">
        <v>22</v>
      </c>
      <c r="O192" t="s">
        <v>21</v>
      </c>
    </row>
    <row r="193" spans="1:15">
      <c r="A193" t="s">
        <v>73</v>
      </c>
      <c r="B193">
        <f t="shared" si="10"/>
        <v>3.9032006245121001E-2</v>
      </c>
      <c r="C193">
        <f t="shared" si="11"/>
        <v>0.156128024980484</v>
      </c>
      <c r="D193">
        <v>1.5</v>
      </c>
      <c r="E193" t="s">
        <v>82</v>
      </c>
      <c r="F193" t="s">
        <v>24</v>
      </c>
      <c r="G193" t="s">
        <v>26</v>
      </c>
      <c r="H193" t="s">
        <v>23</v>
      </c>
      <c r="I193" t="s">
        <v>18</v>
      </c>
      <c r="J193" t="s">
        <v>17</v>
      </c>
      <c r="K193" t="s">
        <v>24</v>
      </c>
      <c r="L193" t="s">
        <v>26</v>
      </c>
      <c r="M193" t="s">
        <v>23</v>
      </c>
      <c r="N193" t="s">
        <v>18</v>
      </c>
      <c r="O193" t="s">
        <v>17</v>
      </c>
    </row>
    <row r="194" spans="1:15">
      <c r="A194" t="s">
        <v>73</v>
      </c>
      <c r="B194">
        <f t="shared" si="10"/>
        <v>3.9032006245121001E-2</v>
      </c>
      <c r="C194">
        <f t="shared" si="11"/>
        <v>0.156128024980484</v>
      </c>
      <c r="D194">
        <v>1.4</v>
      </c>
      <c r="E194" t="s">
        <v>82</v>
      </c>
      <c r="F194" t="s">
        <v>17</v>
      </c>
      <c r="G194" t="s">
        <v>24</v>
      </c>
      <c r="H194" t="s">
        <v>23</v>
      </c>
      <c r="I194" t="s">
        <v>18</v>
      </c>
      <c r="J194" t="s">
        <v>21</v>
      </c>
      <c r="K194" t="s">
        <v>17</v>
      </c>
      <c r="L194" t="s">
        <v>24</v>
      </c>
      <c r="M194" t="s">
        <v>23</v>
      </c>
      <c r="N194" t="s">
        <v>18</v>
      </c>
      <c r="O194" t="s">
        <v>21</v>
      </c>
    </row>
    <row r="195" spans="1:15">
      <c r="A195" t="s">
        <v>73</v>
      </c>
      <c r="B195">
        <f t="shared" si="10"/>
        <v>3.9032006245121001E-2</v>
      </c>
      <c r="C195">
        <f t="shared" si="11"/>
        <v>0.156128024980484</v>
      </c>
      <c r="D195">
        <v>1.3</v>
      </c>
      <c r="E195" t="s">
        <v>82</v>
      </c>
      <c r="F195" t="s">
        <v>17</v>
      </c>
      <c r="G195" t="s">
        <v>23</v>
      </c>
      <c r="H195" t="s">
        <v>19</v>
      </c>
      <c r="I195" t="s">
        <v>22</v>
      </c>
      <c r="J195" t="s">
        <v>21</v>
      </c>
      <c r="K195" t="s">
        <v>17</v>
      </c>
      <c r="L195" t="s">
        <v>23</v>
      </c>
      <c r="M195" t="s">
        <v>19</v>
      </c>
      <c r="N195" t="s">
        <v>22</v>
      </c>
      <c r="O195" t="s">
        <v>21</v>
      </c>
    </row>
    <row r="196" spans="1:15">
      <c r="A196" t="s">
        <v>73</v>
      </c>
      <c r="B196">
        <f t="shared" si="10"/>
        <v>3.9032006245121001E-2</v>
      </c>
      <c r="C196">
        <f t="shared" si="11"/>
        <v>0.156128024980484</v>
      </c>
      <c r="D196">
        <v>1.2</v>
      </c>
      <c r="E196" t="s">
        <v>82</v>
      </c>
      <c r="F196" t="s">
        <v>18</v>
      </c>
      <c r="G196" t="s">
        <v>25</v>
      </c>
      <c r="H196" t="s">
        <v>17</v>
      </c>
      <c r="I196" t="s">
        <v>24</v>
      </c>
      <c r="J196" t="s">
        <v>19</v>
      </c>
      <c r="N196" t="s">
        <v>24</v>
      </c>
      <c r="O196" t="s">
        <v>19</v>
      </c>
    </row>
    <row r="197" spans="1:15">
      <c r="A197" t="s">
        <v>73</v>
      </c>
      <c r="B197">
        <f t="shared" si="10"/>
        <v>3.9032006245121001E-2</v>
      </c>
      <c r="C197">
        <f t="shared" si="11"/>
        <v>0.156128024980484</v>
      </c>
      <c r="D197">
        <v>1.1000000000000001</v>
      </c>
      <c r="E197" t="s">
        <v>82</v>
      </c>
      <c r="F197" t="s">
        <v>20</v>
      </c>
      <c r="G197" t="s">
        <v>22</v>
      </c>
      <c r="H197" t="s">
        <v>23</v>
      </c>
      <c r="I197" t="s">
        <v>18</v>
      </c>
      <c r="J197" t="s">
        <v>17</v>
      </c>
    </row>
    <row r="198" spans="1:15">
      <c r="A198" t="s">
        <v>73</v>
      </c>
      <c r="B198">
        <f t="shared" si="10"/>
        <v>3.9032006245121001E-2</v>
      </c>
      <c r="C198">
        <f t="shared" si="11"/>
        <v>0.156128024980484</v>
      </c>
      <c r="D198">
        <v>1</v>
      </c>
      <c r="E198" t="s">
        <v>82</v>
      </c>
      <c r="F198" t="s">
        <v>24</v>
      </c>
      <c r="G198" t="s">
        <v>22</v>
      </c>
      <c r="H198" t="s">
        <v>19</v>
      </c>
      <c r="I198" t="s">
        <v>21</v>
      </c>
      <c r="J198" t="s">
        <v>26</v>
      </c>
    </row>
    <row r="199" spans="1:15">
      <c r="A199" t="s">
        <v>73</v>
      </c>
      <c r="B199">
        <f t="shared" si="10"/>
        <v>3.9032006245121001E-2</v>
      </c>
      <c r="C199">
        <f t="shared" si="11"/>
        <v>0.156128024980484</v>
      </c>
      <c r="D199">
        <v>0.90000000000000102</v>
      </c>
      <c r="E199" t="s">
        <v>82</v>
      </c>
      <c r="F199" t="s">
        <v>23</v>
      </c>
      <c r="G199" t="s">
        <v>20</v>
      </c>
      <c r="H199" t="s">
        <v>18</v>
      </c>
      <c r="I199" t="s">
        <v>17</v>
      </c>
      <c r="J199" t="s">
        <v>25</v>
      </c>
    </row>
    <row r="200" spans="1:15">
      <c r="A200" t="s">
        <v>73</v>
      </c>
      <c r="B200">
        <f t="shared" si="10"/>
        <v>3.9032006245121001E-2</v>
      </c>
      <c r="C200">
        <f t="shared" si="11"/>
        <v>0.156128024980484</v>
      </c>
      <c r="D200">
        <v>0.80000000000000104</v>
      </c>
      <c r="E200" t="s">
        <v>82</v>
      </c>
      <c r="F200" t="s">
        <v>23</v>
      </c>
      <c r="G200" t="s">
        <v>26</v>
      </c>
      <c r="H200" t="s">
        <v>19</v>
      </c>
      <c r="I200" t="s">
        <v>18</v>
      </c>
      <c r="J200" t="s">
        <v>25</v>
      </c>
    </row>
    <row r="201" spans="1:15">
      <c r="A201" t="s">
        <v>73</v>
      </c>
      <c r="B201">
        <f t="shared" si="10"/>
        <v>3.9032006245121001E-2</v>
      </c>
      <c r="C201">
        <f t="shared" si="11"/>
        <v>0.156128024980484</v>
      </c>
      <c r="D201">
        <v>0.70000000000000095</v>
      </c>
      <c r="E201" t="s">
        <v>82</v>
      </c>
      <c r="F201" t="s">
        <v>25</v>
      </c>
      <c r="G201" t="s">
        <v>24</v>
      </c>
      <c r="H201" t="s">
        <v>20</v>
      </c>
      <c r="I201" t="s">
        <v>18</v>
      </c>
      <c r="J201" t="s">
        <v>19</v>
      </c>
    </row>
    <row r="202" spans="1:15">
      <c r="A202" t="s">
        <v>73</v>
      </c>
      <c r="B202">
        <f t="shared" si="10"/>
        <v>3.9032006245121001E-2</v>
      </c>
      <c r="C202">
        <f t="shared" si="11"/>
        <v>0.156128024980484</v>
      </c>
      <c r="D202">
        <v>0.6</v>
      </c>
      <c r="E202" t="s">
        <v>82</v>
      </c>
      <c r="F202" t="s">
        <v>26</v>
      </c>
      <c r="G202" t="s">
        <v>17</v>
      </c>
      <c r="H202" t="s">
        <v>22</v>
      </c>
      <c r="I202" t="s">
        <v>24</v>
      </c>
      <c r="J202" t="s">
        <v>19</v>
      </c>
    </row>
    <row r="203" spans="1:15">
      <c r="A203" t="s">
        <v>73</v>
      </c>
      <c r="B203">
        <f t="shared" si="10"/>
        <v>3.9032006245121001E-2</v>
      </c>
      <c r="C203">
        <f t="shared" si="11"/>
        <v>0.156128024980484</v>
      </c>
      <c r="D203">
        <v>0.5</v>
      </c>
      <c r="E203" t="s">
        <v>82</v>
      </c>
      <c r="F203" t="s">
        <v>26</v>
      </c>
      <c r="G203" t="s">
        <v>17</v>
      </c>
      <c r="H203" t="s">
        <v>21</v>
      </c>
      <c r="I203" t="s">
        <v>24</v>
      </c>
      <c r="J203" t="s">
        <v>23</v>
      </c>
    </row>
    <row r="204" spans="1:15">
      <c r="A204" t="s">
        <v>73</v>
      </c>
      <c r="B204">
        <f t="shared" si="10"/>
        <v>3.9032006245121001E-2</v>
      </c>
      <c r="C204">
        <f t="shared" si="11"/>
        <v>0.156128024980484</v>
      </c>
      <c r="D204">
        <v>0.4</v>
      </c>
      <c r="E204" t="s">
        <v>82</v>
      </c>
      <c r="F204" t="s">
        <v>19</v>
      </c>
      <c r="G204" t="s">
        <v>18</v>
      </c>
      <c r="H204" t="s">
        <v>22</v>
      </c>
      <c r="I204" t="s">
        <v>26</v>
      </c>
      <c r="J204" t="s">
        <v>20</v>
      </c>
    </row>
    <row r="205" spans="1:15">
      <c r="A205" t="s">
        <v>73</v>
      </c>
      <c r="B205">
        <f t="shared" si="10"/>
        <v>3.9032006245121001E-2</v>
      </c>
      <c r="C205">
        <f t="shared" si="11"/>
        <v>0.156128024980484</v>
      </c>
      <c r="D205">
        <v>0.3</v>
      </c>
      <c r="E205" t="s">
        <v>82</v>
      </c>
      <c r="F205" t="s">
        <v>19</v>
      </c>
      <c r="G205" t="s">
        <v>24</v>
      </c>
      <c r="H205" t="s">
        <v>21</v>
      </c>
      <c r="I205" t="s">
        <v>23</v>
      </c>
      <c r="J205" t="s">
        <v>22</v>
      </c>
    </row>
    <row r="206" spans="1:15">
      <c r="A206" t="s">
        <v>73</v>
      </c>
      <c r="B206">
        <f t="shared" si="10"/>
        <v>3.9032006245121001E-2</v>
      </c>
      <c r="C206">
        <f t="shared" si="11"/>
        <v>0.156128024980484</v>
      </c>
      <c r="D206">
        <v>0.2</v>
      </c>
      <c r="E206" t="s">
        <v>82</v>
      </c>
      <c r="F206" t="s">
        <v>19</v>
      </c>
      <c r="G206" t="s">
        <v>25</v>
      </c>
      <c r="H206" t="s">
        <v>26</v>
      </c>
      <c r="I206" t="s">
        <v>22</v>
      </c>
      <c r="J206" t="s">
        <v>20</v>
      </c>
    </row>
    <row r="207" spans="1:15">
      <c r="A207" t="s">
        <v>73</v>
      </c>
      <c r="B207">
        <f t="shared" si="10"/>
        <v>3.9032006245121001E-2</v>
      </c>
      <c r="C207">
        <f t="shared" si="11"/>
        <v>0.156128024980484</v>
      </c>
      <c r="D207">
        <v>9.9999999999999895E-2</v>
      </c>
      <c r="E207" t="s">
        <v>82</v>
      </c>
      <c r="F207" t="s">
        <v>19</v>
      </c>
      <c r="G207" t="s">
        <v>25</v>
      </c>
      <c r="H207" t="s">
        <v>24</v>
      </c>
      <c r="I207" t="s">
        <v>21</v>
      </c>
      <c r="J207" t="s">
        <v>20</v>
      </c>
    </row>
    <row r="208" spans="1:15">
      <c r="A208" t="s">
        <v>73</v>
      </c>
      <c r="B208">
        <f t="shared" si="10"/>
        <v>3.9032006245121001E-2</v>
      </c>
      <c r="C208">
        <f t="shared" si="11"/>
        <v>0.156128024980484</v>
      </c>
      <c r="D208">
        <v>0</v>
      </c>
      <c r="E208" t="s">
        <v>82</v>
      </c>
      <c r="F208" t="s">
        <v>20</v>
      </c>
      <c r="G208" t="s">
        <v>25</v>
      </c>
      <c r="H208" t="s">
        <v>23</v>
      </c>
      <c r="I208" t="s">
        <v>21</v>
      </c>
      <c r="J208" t="s">
        <v>18</v>
      </c>
    </row>
    <row r="209" spans="1:15">
      <c r="A209" t="s">
        <v>73</v>
      </c>
      <c r="B209">
        <f t="shared" si="10"/>
        <v>3.9032006245121001E-2</v>
      </c>
      <c r="C209">
        <f t="shared" si="11"/>
        <v>0.156128024980484</v>
      </c>
      <c r="D209">
        <v>-0.1</v>
      </c>
      <c r="E209" t="s">
        <v>82</v>
      </c>
      <c r="F209" t="s">
        <v>21</v>
      </c>
      <c r="G209" t="s">
        <v>22</v>
      </c>
      <c r="H209" t="s">
        <v>18</v>
      </c>
      <c r="I209" t="s">
        <v>19</v>
      </c>
      <c r="J209" t="s">
        <v>17</v>
      </c>
    </row>
    <row r="210" spans="1:15">
      <c r="A210" t="s">
        <v>73</v>
      </c>
      <c r="B210">
        <f t="shared" si="10"/>
        <v>3.9032006245121001E-2</v>
      </c>
      <c r="C210">
        <f t="shared" si="11"/>
        <v>0.156128024980484</v>
      </c>
      <c r="D210">
        <v>-0.2</v>
      </c>
      <c r="E210" t="s">
        <v>82</v>
      </c>
      <c r="F210" t="s">
        <v>21</v>
      </c>
      <c r="G210" t="s">
        <v>17</v>
      </c>
      <c r="H210" t="s">
        <v>25</v>
      </c>
      <c r="I210" t="s">
        <v>23</v>
      </c>
      <c r="J210" t="s">
        <v>26</v>
      </c>
    </row>
    <row r="211" spans="1:15">
      <c r="A211" t="s">
        <v>73</v>
      </c>
      <c r="B211">
        <f t="shared" si="10"/>
        <v>3.9032006245121001E-2</v>
      </c>
      <c r="C211">
        <f t="shared" si="11"/>
        <v>0.156128024980484</v>
      </c>
      <c r="D211">
        <v>-0.3</v>
      </c>
      <c r="E211" t="s">
        <v>82</v>
      </c>
      <c r="F211" t="s">
        <v>17</v>
      </c>
      <c r="G211" t="s">
        <v>18</v>
      </c>
      <c r="H211" t="s">
        <v>25</v>
      </c>
      <c r="I211" t="s">
        <v>20</v>
      </c>
      <c r="J211" t="s">
        <v>23</v>
      </c>
    </row>
    <row r="212" spans="1:15">
      <c r="A212" t="s">
        <v>74</v>
      </c>
      <c r="B212">
        <f>1/46.62</f>
        <v>2.145002145002145E-2</v>
      </c>
      <c r="C212">
        <f>4/20.9</f>
        <v>0.19138755980861244</v>
      </c>
      <c r="D212">
        <v>1.7</v>
      </c>
      <c r="E212" t="s">
        <v>82</v>
      </c>
      <c r="F212" t="s">
        <v>20</v>
      </c>
      <c r="G212" t="s">
        <v>19</v>
      </c>
      <c r="H212" t="s">
        <v>18</v>
      </c>
      <c r="I212" t="s">
        <v>23</v>
      </c>
      <c r="J212" t="s">
        <v>22</v>
      </c>
      <c r="K212" t="s">
        <v>20</v>
      </c>
      <c r="N212" t="s">
        <v>23</v>
      </c>
      <c r="O212" t="s">
        <v>22</v>
      </c>
    </row>
    <row r="213" spans="1:15">
      <c r="A213" t="s">
        <v>74</v>
      </c>
      <c r="B213">
        <f t="shared" ref="B213:B232" si="12">1/46.62</f>
        <v>2.145002145002145E-2</v>
      </c>
      <c r="C213">
        <f t="shared" ref="C213:C232" si="13">4/20.9</f>
        <v>0.19138755980861244</v>
      </c>
      <c r="D213">
        <v>1.6</v>
      </c>
      <c r="E213" t="s">
        <v>82</v>
      </c>
      <c r="F213" t="s">
        <v>23</v>
      </c>
      <c r="G213" t="s">
        <v>19</v>
      </c>
      <c r="H213" t="s">
        <v>20</v>
      </c>
      <c r="I213" t="s">
        <v>26</v>
      </c>
      <c r="J213" t="s">
        <v>25</v>
      </c>
    </row>
    <row r="214" spans="1:15">
      <c r="A214" t="s">
        <v>74</v>
      </c>
      <c r="B214">
        <f t="shared" si="12"/>
        <v>2.145002145002145E-2</v>
      </c>
      <c r="C214">
        <f t="shared" si="13"/>
        <v>0.19138755980861244</v>
      </c>
      <c r="D214">
        <v>1.5</v>
      </c>
      <c r="E214" t="s">
        <v>82</v>
      </c>
      <c r="F214" t="s">
        <v>26</v>
      </c>
      <c r="G214" t="s">
        <v>22</v>
      </c>
      <c r="H214" t="s">
        <v>20</v>
      </c>
      <c r="I214" t="s">
        <v>17</v>
      </c>
      <c r="J214" t="s">
        <v>21</v>
      </c>
    </row>
    <row r="215" spans="1:15">
      <c r="A215" t="s">
        <v>74</v>
      </c>
      <c r="B215">
        <f t="shared" si="12"/>
        <v>2.145002145002145E-2</v>
      </c>
      <c r="C215">
        <f t="shared" si="13"/>
        <v>0.19138755980861244</v>
      </c>
      <c r="D215">
        <v>1.4</v>
      </c>
      <c r="E215" t="s">
        <v>82</v>
      </c>
      <c r="F215" t="s">
        <v>21</v>
      </c>
      <c r="G215" t="s">
        <v>24</v>
      </c>
      <c r="H215" t="s">
        <v>26</v>
      </c>
      <c r="I215" t="s">
        <v>25</v>
      </c>
      <c r="J215" t="s">
        <v>19</v>
      </c>
    </row>
    <row r="216" spans="1:15">
      <c r="A216" t="s">
        <v>74</v>
      </c>
      <c r="B216">
        <f t="shared" si="12"/>
        <v>2.145002145002145E-2</v>
      </c>
      <c r="C216">
        <f t="shared" si="13"/>
        <v>0.19138755980861244</v>
      </c>
      <c r="D216">
        <v>1.3</v>
      </c>
      <c r="E216" t="s">
        <v>82</v>
      </c>
      <c r="F216" t="s">
        <v>23</v>
      </c>
      <c r="G216" t="s">
        <v>26</v>
      </c>
      <c r="H216" t="s">
        <v>19</v>
      </c>
      <c r="I216" t="s">
        <v>20</v>
      </c>
      <c r="J216" t="s">
        <v>21</v>
      </c>
    </row>
    <row r="217" spans="1:15">
      <c r="A217" t="s">
        <v>74</v>
      </c>
      <c r="B217">
        <f t="shared" si="12"/>
        <v>2.145002145002145E-2</v>
      </c>
      <c r="C217">
        <f t="shared" si="13"/>
        <v>0.19138755980861244</v>
      </c>
      <c r="D217">
        <v>1.2</v>
      </c>
      <c r="E217" t="s">
        <v>82</v>
      </c>
      <c r="F217" t="s">
        <v>20</v>
      </c>
      <c r="G217" t="s">
        <v>21</v>
      </c>
      <c r="H217" t="s">
        <v>17</v>
      </c>
      <c r="I217" t="s">
        <v>24</v>
      </c>
      <c r="J217" t="s">
        <v>19</v>
      </c>
    </row>
    <row r="218" spans="1:15">
      <c r="A218" t="s">
        <v>74</v>
      </c>
      <c r="B218">
        <f t="shared" si="12"/>
        <v>2.145002145002145E-2</v>
      </c>
      <c r="C218">
        <f t="shared" si="13"/>
        <v>0.19138755980861244</v>
      </c>
      <c r="D218">
        <v>1.1000000000000001</v>
      </c>
      <c r="E218" t="s">
        <v>82</v>
      </c>
      <c r="F218" t="s">
        <v>19</v>
      </c>
      <c r="G218" t="s">
        <v>24</v>
      </c>
      <c r="H218" t="s">
        <v>25</v>
      </c>
      <c r="I218" t="s">
        <v>23</v>
      </c>
      <c r="J218" t="s">
        <v>17</v>
      </c>
    </row>
    <row r="219" spans="1:15">
      <c r="A219" t="s">
        <v>74</v>
      </c>
      <c r="B219">
        <f t="shared" si="12"/>
        <v>2.145002145002145E-2</v>
      </c>
      <c r="C219">
        <f t="shared" si="13"/>
        <v>0.19138755980861244</v>
      </c>
      <c r="D219">
        <v>1</v>
      </c>
      <c r="E219" t="s">
        <v>82</v>
      </c>
      <c r="F219" t="s">
        <v>25</v>
      </c>
      <c r="G219" t="s">
        <v>22</v>
      </c>
      <c r="H219" t="s">
        <v>19</v>
      </c>
      <c r="I219" t="s">
        <v>20</v>
      </c>
      <c r="J219" t="s">
        <v>24</v>
      </c>
    </row>
    <row r="220" spans="1:15">
      <c r="A220" t="s">
        <v>74</v>
      </c>
      <c r="B220">
        <f t="shared" si="12"/>
        <v>2.145002145002145E-2</v>
      </c>
      <c r="C220">
        <f t="shared" si="13"/>
        <v>0.19138755980861244</v>
      </c>
      <c r="D220">
        <v>0.90000000000000102</v>
      </c>
      <c r="E220" t="s">
        <v>82</v>
      </c>
      <c r="F220" t="s">
        <v>24</v>
      </c>
      <c r="G220" t="s">
        <v>23</v>
      </c>
      <c r="H220" t="s">
        <v>21</v>
      </c>
      <c r="I220" t="s">
        <v>18</v>
      </c>
      <c r="J220" t="s">
        <v>20</v>
      </c>
    </row>
    <row r="221" spans="1:15">
      <c r="A221" t="s">
        <v>74</v>
      </c>
      <c r="B221">
        <f t="shared" si="12"/>
        <v>2.145002145002145E-2</v>
      </c>
      <c r="C221">
        <f t="shared" si="13"/>
        <v>0.19138755980861244</v>
      </c>
      <c r="D221">
        <v>0.80000000000000104</v>
      </c>
      <c r="E221" t="s">
        <v>82</v>
      </c>
      <c r="F221" t="s">
        <v>18</v>
      </c>
      <c r="G221" t="s">
        <v>19</v>
      </c>
      <c r="H221" t="s">
        <v>22</v>
      </c>
      <c r="I221" t="s">
        <v>21</v>
      </c>
      <c r="J221" t="s">
        <v>20</v>
      </c>
    </row>
    <row r="222" spans="1:15">
      <c r="A222" t="s">
        <v>74</v>
      </c>
      <c r="B222">
        <f t="shared" si="12"/>
        <v>2.145002145002145E-2</v>
      </c>
      <c r="C222">
        <f t="shared" si="13"/>
        <v>0.19138755980861244</v>
      </c>
      <c r="D222">
        <v>0.70000000000000095</v>
      </c>
      <c r="E222" t="s">
        <v>82</v>
      </c>
      <c r="F222" t="s">
        <v>21</v>
      </c>
      <c r="G222" t="s">
        <v>23</v>
      </c>
      <c r="H222" t="s">
        <v>25</v>
      </c>
      <c r="I222" t="s">
        <v>18</v>
      </c>
      <c r="J222" t="s">
        <v>24</v>
      </c>
    </row>
    <row r="223" spans="1:15">
      <c r="A223" t="s">
        <v>74</v>
      </c>
      <c r="B223">
        <f t="shared" si="12"/>
        <v>2.145002145002145E-2</v>
      </c>
      <c r="C223">
        <f t="shared" si="13"/>
        <v>0.19138755980861244</v>
      </c>
      <c r="D223">
        <v>0.6</v>
      </c>
      <c r="E223" t="s">
        <v>82</v>
      </c>
      <c r="F223" t="s">
        <v>19</v>
      </c>
      <c r="G223" t="s">
        <v>26</v>
      </c>
      <c r="H223" t="s">
        <v>24</v>
      </c>
      <c r="I223" t="s">
        <v>18</v>
      </c>
      <c r="J223" t="s">
        <v>25</v>
      </c>
    </row>
    <row r="224" spans="1:15">
      <c r="A224" t="s">
        <v>74</v>
      </c>
      <c r="B224">
        <f t="shared" si="12"/>
        <v>2.145002145002145E-2</v>
      </c>
      <c r="C224">
        <f t="shared" si="13"/>
        <v>0.19138755980861244</v>
      </c>
      <c r="D224">
        <v>0.5</v>
      </c>
      <c r="E224" t="s">
        <v>82</v>
      </c>
      <c r="F224" t="s">
        <v>26</v>
      </c>
      <c r="G224" t="s">
        <v>24</v>
      </c>
      <c r="H224" t="s">
        <v>18</v>
      </c>
      <c r="I224" t="s">
        <v>17</v>
      </c>
      <c r="J224" t="s">
        <v>23</v>
      </c>
    </row>
    <row r="225" spans="1:15">
      <c r="A225" t="s">
        <v>74</v>
      </c>
      <c r="B225">
        <f t="shared" si="12"/>
        <v>2.145002145002145E-2</v>
      </c>
      <c r="C225">
        <f t="shared" si="13"/>
        <v>0.19138755980861244</v>
      </c>
      <c r="D225">
        <v>0.4</v>
      </c>
      <c r="E225" t="s">
        <v>82</v>
      </c>
      <c r="F225" t="s">
        <v>19</v>
      </c>
      <c r="G225" t="s">
        <v>25</v>
      </c>
      <c r="H225" t="s">
        <v>17</v>
      </c>
      <c r="I225" t="s">
        <v>26</v>
      </c>
      <c r="J225" t="s">
        <v>20</v>
      </c>
    </row>
    <row r="226" spans="1:15">
      <c r="A226" t="s">
        <v>74</v>
      </c>
      <c r="B226">
        <f t="shared" si="12"/>
        <v>2.145002145002145E-2</v>
      </c>
      <c r="C226">
        <f t="shared" si="13"/>
        <v>0.19138755980861244</v>
      </c>
      <c r="D226">
        <v>0.3</v>
      </c>
      <c r="E226" t="s">
        <v>82</v>
      </c>
      <c r="F226" t="s">
        <v>22</v>
      </c>
      <c r="G226" t="s">
        <v>25</v>
      </c>
      <c r="H226" t="s">
        <v>17</v>
      </c>
      <c r="I226" t="s">
        <v>21</v>
      </c>
      <c r="J226" t="s">
        <v>20</v>
      </c>
    </row>
    <row r="227" spans="1:15">
      <c r="A227" t="s">
        <v>74</v>
      </c>
      <c r="B227">
        <f t="shared" si="12"/>
        <v>2.145002145002145E-2</v>
      </c>
      <c r="C227">
        <f t="shared" si="13"/>
        <v>0.19138755980861244</v>
      </c>
      <c r="D227">
        <v>0.2</v>
      </c>
      <c r="E227" t="s">
        <v>82</v>
      </c>
      <c r="F227" t="s">
        <v>22</v>
      </c>
      <c r="G227" t="s">
        <v>19</v>
      </c>
      <c r="H227" t="s">
        <v>18</v>
      </c>
      <c r="I227" t="s">
        <v>23</v>
      </c>
      <c r="J227" t="s">
        <v>21</v>
      </c>
    </row>
    <row r="228" spans="1:15">
      <c r="A228" t="s">
        <v>74</v>
      </c>
      <c r="B228">
        <f t="shared" si="12"/>
        <v>2.145002145002145E-2</v>
      </c>
      <c r="C228">
        <f t="shared" si="13"/>
        <v>0.19138755980861244</v>
      </c>
      <c r="D228">
        <v>9.9999999999999895E-2</v>
      </c>
      <c r="E228" t="s">
        <v>82</v>
      </c>
      <c r="F228" t="s">
        <v>23</v>
      </c>
      <c r="G228" t="s">
        <v>25</v>
      </c>
      <c r="H228" t="s">
        <v>26</v>
      </c>
      <c r="I228" t="s">
        <v>21</v>
      </c>
      <c r="J228" t="s">
        <v>22</v>
      </c>
    </row>
    <row r="229" spans="1:15">
      <c r="A229" t="s">
        <v>74</v>
      </c>
      <c r="B229">
        <f t="shared" si="12"/>
        <v>2.145002145002145E-2</v>
      </c>
      <c r="C229">
        <f t="shared" si="13"/>
        <v>0.19138755980861244</v>
      </c>
      <c r="D229">
        <v>0</v>
      </c>
      <c r="E229" t="s">
        <v>82</v>
      </c>
      <c r="F229" t="s">
        <v>23</v>
      </c>
      <c r="G229" t="s">
        <v>22</v>
      </c>
      <c r="H229" t="s">
        <v>19</v>
      </c>
      <c r="I229" t="s">
        <v>18</v>
      </c>
      <c r="J229" t="s">
        <v>25</v>
      </c>
    </row>
    <row r="230" spans="1:15">
      <c r="A230" t="s">
        <v>74</v>
      </c>
      <c r="B230">
        <f t="shared" si="12"/>
        <v>2.145002145002145E-2</v>
      </c>
      <c r="C230">
        <f t="shared" si="13"/>
        <v>0.19138755980861244</v>
      </c>
      <c r="D230">
        <v>-0.1</v>
      </c>
      <c r="E230" t="s">
        <v>82</v>
      </c>
      <c r="F230" t="s">
        <v>17</v>
      </c>
      <c r="G230" t="s">
        <v>18</v>
      </c>
      <c r="H230" t="s">
        <v>24</v>
      </c>
      <c r="I230" t="s">
        <v>23</v>
      </c>
      <c r="J230" t="s">
        <v>25</v>
      </c>
    </row>
    <row r="231" spans="1:15">
      <c r="A231" t="s">
        <v>74</v>
      </c>
      <c r="B231">
        <f t="shared" si="12"/>
        <v>2.145002145002145E-2</v>
      </c>
      <c r="C231">
        <f t="shared" si="13"/>
        <v>0.19138755980861244</v>
      </c>
      <c r="D231">
        <v>-0.2</v>
      </c>
      <c r="E231" t="s">
        <v>82</v>
      </c>
      <c r="F231" t="s">
        <v>24</v>
      </c>
      <c r="G231" t="s">
        <v>18</v>
      </c>
      <c r="H231" t="s">
        <v>26</v>
      </c>
      <c r="I231" t="s">
        <v>21</v>
      </c>
      <c r="J231" t="s">
        <v>23</v>
      </c>
    </row>
    <row r="232" spans="1:15">
      <c r="A232" t="s">
        <v>74</v>
      </c>
      <c r="B232">
        <f t="shared" si="12"/>
        <v>2.145002145002145E-2</v>
      </c>
      <c r="C232">
        <f t="shared" si="13"/>
        <v>0.19138755980861244</v>
      </c>
      <c r="D232">
        <v>-0.3</v>
      </c>
      <c r="E232" t="s">
        <v>82</v>
      </c>
      <c r="F232" t="s">
        <v>26</v>
      </c>
      <c r="G232" t="s">
        <v>22</v>
      </c>
      <c r="H232" t="s">
        <v>19</v>
      </c>
      <c r="I232" t="s">
        <v>20</v>
      </c>
      <c r="J232" t="s">
        <v>24</v>
      </c>
    </row>
    <row r="233" spans="1:15">
      <c r="A233" t="s">
        <v>75</v>
      </c>
      <c r="B233">
        <f>1/2.3</f>
        <v>0.43478260869565222</v>
      </c>
      <c r="C233">
        <f>1/16/2.3</f>
        <v>2.7173913043478264E-2</v>
      </c>
      <c r="D233">
        <v>1.7</v>
      </c>
      <c r="E233" t="s">
        <v>82</v>
      </c>
      <c r="F233" t="s">
        <v>18</v>
      </c>
      <c r="G233" t="s">
        <v>22</v>
      </c>
      <c r="H233" t="s">
        <v>24</v>
      </c>
      <c r="I233" t="s">
        <v>20</v>
      </c>
      <c r="J233" t="s">
        <v>21</v>
      </c>
      <c r="K233" t="s">
        <v>18</v>
      </c>
      <c r="L233" t="s">
        <v>22</v>
      </c>
      <c r="M233" t="s">
        <v>24</v>
      </c>
      <c r="N233" t="s">
        <v>20</v>
      </c>
      <c r="O233" t="s">
        <v>21</v>
      </c>
    </row>
    <row r="234" spans="1:15">
      <c r="A234" t="s">
        <v>75</v>
      </c>
      <c r="B234">
        <f t="shared" ref="B234:B253" si="14">1/2.3</f>
        <v>0.43478260869565222</v>
      </c>
      <c r="C234">
        <f t="shared" ref="C234:C253" si="15">1/16/2.3</f>
        <v>2.7173913043478264E-2</v>
      </c>
      <c r="D234">
        <v>1.6</v>
      </c>
      <c r="E234" t="s">
        <v>82</v>
      </c>
      <c r="F234" t="s">
        <v>20</v>
      </c>
      <c r="G234" t="s">
        <v>25</v>
      </c>
      <c r="H234" t="s">
        <v>19</v>
      </c>
      <c r="I234" t="s">
        <v>22</v>
      </c>
      <c r="J234" t="s">
        <v>18</v>
      </c>
      <c r="K234" t="s">
        <v>20</v>
      </c>
      <c r="L234" t="s">
        <v>25</v>
      </c>
      <c r="M234" t="s">
        <v>19</v>
      </c>
      <c r="N234" t="s">
        <v>22</v>
      </c>
      <c r="O234" t="s">
        <v>18</v>
      </c>
    </row>
    <row r="235" spans="1:15">
      <c r="A235" t="s">
        <v>75</v>
      </c>
      <c r="B235">
        <f t="shared" si="14"/>
        <v>0.43478260869565222</v>
      </c>
      <c r="C235">
        <f t="shared" si="15"/>
        <v>2.7173913043478264E-2</v>
      </c>
      <c r="D235">
        <v>1.5</v>
      </c>
      <c r="E235" t="s">
        <v>82</v>
      </c>
      <c r="F235" t="s">
        <v>18</v>
      </c>
      <c r="G235" t="s">
        <v>21</v>
      </c>
      <c r="H235" t="s">
        <v>25</v>
      </c>
      <c r="I235" t="s">
        <v>20</v>
      </c>
      <c r="J235" t="s">
        <v>24</v>
      </c>
      <c r="K235" t="s">
        <v>18</v>
      </c>
      <c r="L235" t="s">
        <v>21</v>
      </c>
      <c r="M235" t="s">
        <v>25</v>
      </c>
      <c r="N235" t="s">
        <v>20</v>
      </c>
      <c r="O235" t="s">
        <v>24</v>
      </c>
    </row>
    <row r="236" spans="1:15">
      <c r="A236" t="s">
        <v>75</v>
      </c>
      <c r="B236">
        <f t="shared" si="14"/>
        <v>0.43478260869565222</v>
      </c>
      <c r="C236">
        <f t="shared" si="15"/>
        <v>2.7173913043478264E-2</v>
      </c>
      <c r="D236">
        <v>1.4</v>
      </c>
      <c r="E236" t="s">
        <v>82</v>
      </c>
      <c r="F236" t="s">
        <v>26</v>
      </c>
      <c r="G236" t="s">
        <v>25</v>
      </c>
      <c r="H236" t="s">
        <v>22</v>
      </c>
      <c r="I236" t="s">
        <v>19</v>
      </c>
      <c r="J236" t="s">
        <v>23</v>
      </c>
      <c r="K236" t="s">
        <v>26</v>
      </c>
      <c r="L236" t="s">
        <v>25</v>
      </c>
      <c r="M236" t="s">
        <v>22</v>
      </c>
      <c r="N236" t="s">
        <v>19</v>
      </c>
      <c r="O236" t="s">
        <v>23</v>
      </c>
    </row>
    <row r="237" spans="1:15">
      <c r="A237" t="s">
        <v>75</v>
      </c>
      <c r="B237">
        <f t="shared" si="14"/>
        <v>0.43478260869565222</v>
      </c>
      <c r="C237">
        <f t="shared" si="15"/>
        <v>2.7173913043478264E-2</v>
      </c>
      <c r="D237">
        <v>1.3</v>
      </c>
      <c r="E237" t="s">
        <v>82</v>
      </c>
      <c r="F237" t="s">
        <v>24</v>
      </c>
      <c r="G237" t="s">
        <v>23</v>
      </c>
      <c r="H237" t="s">
        <v>19</v>
      </c>
      <c r="I237" t="s">
        <v>17</v>
      </c>
      <c r="J237" t="s">
        <v>18</v>
      </c>
      <c r="K237" t="s">
        <v>24</v>
      </c>
      <c r="L237" t="s">
        <v>23</v>
      </c>
      <c r="M237" t="s">
        <v>19</v>
      </c>
      <c r="N237" t="s">
        <v>17</v>
      </c>
      <c r="O237" t="s">
        <v>18</v>
      </c>
    </row>
    <row r="238" spans="1:15">
      <c r="A238" t="s">
        <v>75</v>
      </c>
      <c r="B238">
        <f t="shared" si="14"/>
        <v>0.43478260869565222</v>
      </c>
      <c r="C238">
        <f t="shared" si="15"/>
        <v>2.7173913043478264E-2</v>
      </c>
      <c r="D238">
        <v>1.2</v>
      </c>
      <c r="E238" t="s">
        <v>82</v>
      </c>
      <c r="F238" t="s">
        <v>26</v>
      </c>
      <c r="G238" t="s">
        <v>19</v>
      </c>
      <c r="H238" t="s">
        <v>24</v>
      </c>
      <c r="I238" t="s">
        <v>23</v>
      </c>
      <c r="J238" t="s">
        <v>17</v>
      </c>
      <c r="K238" t="s">
        <v>26</v>
      </c>
      <c r="L238" t="s">
        <v>19</v>
      </c>
      <c r="M238" t="s">
        <v>24</v>
      </c>
      <c r="N238" t="s">
        <v>23</v>
      </c>
      <c r="O238" t="s">
        <v>17</v>
      </c>
    </row>
    <row r="239" spans="1:15">
      <c r="A239" t="s">
        <v>75</v>
      </c>
      <c r="B239">
        <f t="shared" si="14"/>
        <v>0.43478260869565222</v>
      </c>
      <c r="C239">
        <f t="shared" si="15"/>
        <v>2.7173913043478264E-2</v>
      </c>
      <c r="D239">
        <v>1.1000000000000001</v>
      </c>
      <c r="E239" t="s">
        <v>82</v>
      </c>
      <c r="F239" t="s">
        <v>22</v>
      </c>
      <c r="G239" t="s">
        <v>20</v>
      </c>
      <c r="H239" t="s">
        <v>18</v>
      </c>
      <c r="I239" t="s">
        <v>17</v>
      </c>
      <c r="J239" t="s">
        <v>26</v>
      </c>
      <c r="K239" t="s">
        <v>22</v>
      </c>
      <c r="L239" t="s">
        <v>20</v>
      </c>
      <c r="M239" t="s">
        <v>18</v>
      </c>
      <c r="N239" t="s">
        <v>17</v>
      </c>
      <c r="O239" t="s">
        <v>26</v>
      </c>
    </row>
    <row r="240" spans="1:15">
      <c r="A240" t="s">
        <v>75</v>
      </c>
      <c r="B240">
        <f t="shared" si="14"/>
        <v>0.43478260869565222</v>
      </c>
      <c r="C240">
        <f t="shared" si="15"/>
        <v>2.7173913043478264E-2</v>
      </c>
      <c r="D240">
        <v>1</v>
      </c>
      <c r="E240" t="s">
        <v>82</v>
      </c>
      <c r="F240" t="s">
        <v>20</v>
      </c>
      <c r="G240" t="s">
        <v>19</v>
      </c>
      <c r="H240" t="s">
        <v>17</v>
      </c>
      <c r="I240" t="s">
        <v>23</v>
      </c>
      <c r="J240" t="s">
        <v>18</v>
      </c>
      <c r="K240" t="s">
        <v>20</v>
      </c>
      <c r="L240" t="s">
        <v>19</v>
      </c>
      <c r="M240" t="s">
        <v>17</v>
      </c>
      <c r="N240" t="s">
        <v>23</v>
      </c>
      <c r="O240" t="s">
        <v>18</v>
      </c>
    </row>
    <row r="241" spans="1:15">
      <c r="A241" t="s">
        <v>75</v>
      </c>
      <c r="B241">
        <f t="shared" si="14"/>
        <v>0.43478260869565222</v>
      </c>
      <c r="C241">
        <f t="shared" si="15"/>
        <v>2.7173913043478264E-2</v>
      </c>
      <c r="D241">
        <v>0.90000000000000102</v>
      </c>
      <c r="E241" t="s">
        <v>82</v>
      </c>
      <c r="F241" t="s">
        <v>18</v>
      </c>
      <c r="G241" t="s">
        <v>17</v>
      </c>
      <c r="H241" t="s">
        <v>22</v>
      </c>
      <c r="I241" t="s">
        <v>23</v>
      </c>
      <c r="J241" t="s">
        <v>24</v>
      </c>
      <c r="K241" t="s">
        <v>18</v>
      </c>
      <c r="L241" t="s">
        <v>17</v>
      </c>
      <c r="M241" t="s">
        <v>22</v>
      </c>
      <c r="N241" t="s">
        <v>23</v>
      </c>
      <c r="O241" t="s">
        <v>24</v>
      </c>
    </row>
    <row r="242" spans="1:15">
      <c r="A242" t="s">
        <v>75</v>
      </c>
      <c r="B242">
        <f t="shared" si="14"/>
        <v>0.43478260869565222</v>
      </c>
      <c r="C242">
        <f t="shared" si="15"/>
        <v>2.7173913043478264E-2</v>
      </c>
      <c r="D242">
        <v>0.80000000000000104</v>
      </c>
      <c r="E242" t="s">
        <v>82</v>
      </c>
      <c r="F242" t="s">
        <v>23</v>
      </c>
      <c r="G242" t="s">
        <v>20</v>
      </c>
      <c r="H242" t="s">
        <v>25</v>
      </c>
      <c r="I242" t="s">
        <v>24</v>
      </c>
      <c r="J242" t="s">
        <v>26</v>
      </c>
      <c r="K242" t="s">
        <v>23</v>
      </c>
      <c r="L242" t="s">
        <v>20</v>
      </c>
      <c r="M242" t="s">
        <v>25</v>
      </c>
      <c r="N242" t="s">
        <v>24</v>
      </c>
      <c r="O242" t="s">
        <v>26</v>
      </c>
    </row>
    <row r="243" spans="1:15">
      <c r="A243" t="s">
        <v>75</v>
      </c>
      <c r="B243">
        <f t="shared" si="14"/>
        <v>0.43478260869565222</v>
      </c>
      <c r="C243">
        <f t="shared" si="15"/>
        <v>2.7173913043478264E-2</v>
      </c>
      <c r="D243">
        <v>0.70000000000000095</v>
      </c>
      <c r="E243" t="s">
        <v>82</v>
      </c>
      <c r="F243" t="s">
        <v>19</v>
      </c>
      <c r="G243" t="s">
        <v>22</v>
      </c>
      <c r="H243" t="s">
        <v>18</v>
      </c>
      <c r="I243" t="s">
        <v>23</v>
      </c>
      <c r="J243" t="s">
        <v>17</v>
      </c>
      <c r="K243" t="s">
        <v>19</v>
      </c>
      <c r="L243" t="s">
        <v>22</v>
      </c>
      <c r="M243" t="s">
        <v>18</v>
      </c>
      <c r="N243" t="s">
        <v>23</v>
      </c>
      <c r="O243" t="s">
        <v>17</v>
      </c>
    </row>
    <row r="244" spans="1:15">
      <c r="A244" t="s">
        <v>75</v>
      </c>
      <c r="B244">
        <f t="shared" si="14"/>
        <v>0.43478260869565222</v>
      </c>
      <c r="C244">
        <f t="shared" si="15"/>
        <v>2.7173913043478264E-2</v>
      </c>
      <c r="D244">
        <v>0.6</v>
      </c>
      <c r="E244" t="s">
        <v>82</v>
      </c>
      <c r="F244" t="s">
        <v>21</v>
      </c>
      <c r="G244" t="s">
        <v>25</v>
      </c>
      <c r="H244" t="s">
        <v>20</v>
      </c>
      <c r="I244" t="s">
        <v>19</v>
      </c>
      <c r="J244" t="s">
        <v>17</v>
      </c>
      <c r="K244" t="s">
        <v>21</v>
      </c>
      <c r="L244" t="s">
        <v>25</v>
      </c>
      <c r="M244" t="s">
        <v>20</v>
      </c>
      <c r="N244" t="s">
        <v>19</v>
      </c>
      <c r="O244" t="s">
        <v>17</v>
      </c>
    </row>
    <row r="245" spans="1:15">
      <c r="A245" t="s">
        <v>75</v>
      </c>
      <c r="B245">
        <f t="shared" si="14"/>
        <v>0.43478260869565222</v>
      </c>
      <c r="C245">
        <f t="shared" si="15"/>
        <v>2.7173913043478264E-2</v>
      </c>
      <c r="D245">
        <v>0.5</v>
      </c>
      <c r="E245" t="s">
        <v>82</v>
      </c>
      <c r="F245" t="s">
        <v>21</v>
      </c>
      <c r="G245" t="s">
        <v>22</v>
      </c>
      <c r="H245" t="s">
        <v>19</v>
      </c>
      <c r="I245" t="s">
        <v>24</v>
      </c>
      <c r="J245" t="s">
        <v>17</v>
      </c>
      <c r="K245" t="s">
        <v>21</v>
      </c>
      <c r="L245" t="s">
        <v>22</v>
      </c>
      <c r="M245" t="s">
        <v>19</v>
      </c>
      <c r="N245" t="s">
        <v>24</v>
      </c>
      <c r="O245" t="s">
        <v>17</v>
      </c>
    </row>
    <row r="246" spans="1:15">
      <c r="A246" t="s">
        <v>75</v>
      </c>
      <c r="B246">
        <f t="shared" si="14"/>
        <v>0.43478260869565222</v>
      </c>
      <c r="C246">
        <f t="shared" si="15"/>
        <v>2.7173913043478264E-2</v>
      </c>
      <c r="D246">
        <v>0.4</v>
      </c>
      <c r="E246" t="s">
        <v>82</v>
      </c>
      <c r="F246" t="s">
        <v>26</v>
      </c>
      <c r="G246" t="s">
        <v>19</v>
      </c>
      <c r="H246" t="s">
        <v>22</v>
      </c>
      <c r="I246" t="s">
        <v>23</v>
      </c>
      <c r="J246" t="s">
        <v>21</v>
      </c>
      <c r="L246" t="s">
        <v>19</v>
      </c>
      <c r="O246" t="s">
        <v>21</v>
      </c>
    </row>
    <row r="247" spans="1:15">
      <c r="A247" t="s">
        <v>75</v>
      </c>
      <c r="B247">
        <f t="shared" si="14"/>
        <v>0.43478260869565222</v>
      </c>
      <c r="C247">
        <f t="shared" si="15"/>
        <v>2.7173913043478264E-2</v>
      </c>
      <c r="D247">
        <v>0.3</v>
      </c>
      <c r="E247" t="s">
        <v>82</v>
      </c>
      <c r="F247" t="s">
        <v>26</v>
      </c>
      <c r="G247" t="s">
        <v>21</v>
      </c>
      <c r="H247" t="s">
        <v>24</v>
      </c>
      <c r="I247" t="s">
        <v>20</v>
      </c>
      <c r="J247" t="s">
        <v>19</v>
      </c>
    </row>
    <row r="248" spans="1:15">
      <c r="A248" t="s">
        <v>75</v>
      </c>
      <c r="B248">
        <f t="shared" si="14"/>
        <v>0.43478260869565222</v>
      </c>
      <c r="C248">
        <f t="shared" si="15"/>
        <v>2.7173913043478264E-2</v>
      </c>
      <c r="D248">
        <v>0.2</v>
      </c>
      <c r="E248" t="s">
        <v>82</v>
      </c>
      <c r="F248" t="s">
        <v>19</v>
      </c>
      <c r="G248" t="s">
        <v>18</v>
      </c>
      <c r="H248" t="s">
        <v>25</v>
      </c>
      <c r="I248" t="s">
        <v>21</v>
      </c>
      <c r="J248" t="s">
        <v>23</v>
      </c>
    </row>
    <row r="249" spans="1:15">
      <c r="A249" t="s">
        <v>75</v>
      </c>
      <c r="B249">
        <f t="shared" si="14"/>
        <v>0.43478260869565222</v>
      </c>
      <c r="C249">
        <f t="shared" si="15"/>
        <v>2.7173913043478264E-2</v>
      </c>
      <c r="D249">
        <v>9.9999999999999895E-2</v>
      </c>
      <c r="E249" t="s">
        <v>82</v>
      </c>
      <c r="F249" t="s">
        <v>22</v>
      </c>
      <c r="G249" t="s">
        <v>26</v>
      </c>
      <c r="H249" t="s">
        <v>21</v>
      </c>
      <c r="I249" t="s">
        <v>19</v>
      </c>
      <c r="J249" t="s">
        <v>20</v>
      </c>
    </row>
    <row r="250" spans="1:15">
      <c r="A250" t="s">
        <v>75</v>
      </c>
      <c r="B250">
        <f t="shared" si="14"/>
        <v>0.43478260869565222</v>
      </c>
      <c r="C250">
        <f t="shared" si="15"/>
        <v>2.7173913043478264E-2</v>
      </c>
      <c r="D250">
        <v>0</v>
      </c>
      <c r="E250" t="s">
        <v>82</v>
      </c>
      <c r="F250" t="s">
        <v>18</v>
      </c>
      <c r="G250" t="s">
        <v>23</v>
      </c>
      <c r="H250" t="s">
        <v>21</v>
      </c>
      <c r="I250" t="s">
        <v>17</v>
      </c>
      <c r="J250" t="s">
        <v>19</v>
      </c>
    </row>
    <row r="251" spans="1:15">
      <c r="A251" t="s">
        <v>75</v>
      </c>
      <c r="B251">
        <f t="shared" si="14"/>
        <v>0.43478260869565222</v>
      </c>
      <c r="C251">
        <f t="shared" si="15"/>
        <v>2.7173913043478264E-2</v>
      </c>
      <c r="D251">
        <v>-0.1</v>
      </c>
      <c r="E251" t="s">
        <v>82</v>
      </c>
      <c r="F251" t="s">
        <v>18</v>
      </c>
      <c r="G251" t="s">
        <v>25</v>
      </c>
      <c r="H251" t="s">
        <v>26</v>
      </c>
      <c r="I251" t="s">
        <v>17</v>
      </c>
      <c r="J251" t="s">
        <v>22</v>
      </c>
    </row>
    <row r="252" spans="1:15">
      <c r="A252" t="s">
        <v>75</v>
      </c>
      <c r="B252">
        <f t="shared" si="14"/>
        <v>0.43478260869565222</v>
      </c>
      <c r="C252">
        <f t="shared" si="15"/>
        <v>2.7173913043478264E-2</v>
      </c>
      <c r="D252">
        <v>-0.2</v>
      </c>
      <c r="E252" t="s">
        <v>82</v>
      </c>
      <c r="F252" t="s">
        <v>19</v>
      </c>
      <c r="G252" t="s">
        <v>25</v>
      </c>
      <c r="H252" t="s">
        <v>17</v>
      </c>
      <c r="I252" t="s">
        <v>22</v>
      </c>
      <c r="J252" t="s">
        <v>20</v>
      </c>
    </row>
    <row r="253" spans="1:15">
      <c r="A253" t="s">
        <v>75</v>
      </c>
      <c r="B253">
        <f t="shared" si="14"/>
        <v>0.43478260869565222</v>
      </c>
      <c r="C253">
        <f t="shared" si="15"/>
        <v>2.7173913043478264E-2</v>
      </c>
      <c r="D253">
        <v>-0.3</v>
      </c>
      <c r="E253" t="s">
        <v>82</v>
      </c>
      <c r="F253" t="s">
        <v>22</v>
      </c>
      <c r="G253" t="s">
        <v>21</v>
      </c>
      <c r="H253" t="s">
        <v>25</v>
      </c>
      <c r="I253" t="s">
        <v>19</v>
      </c>
      <c r="J253" t="s">
        <v>17</v>
      </c>
    </row>
    <row r="254" spans="1:15">
      <c r="A254" t="s">
        <v>76</v>
      </c>
      <c r="B254">
        <f>1/3.95</f>
        <v>0.25316455696202528</v>
      </c>
      <c r="C254">
        <f>1/16/3.95</f>
        <v>1.582278481012658E-2</v>
      </c>
      <c r="D254">
        <v>1.7</v>
      </c>
      <c r="E254" t="s">
        <v>82</v>
      </c>
      <c r="F254" t="s">
        <v>25</v>
      </c>
      <c r="G254" t="s">
        <v>17</v>
      </c>
      <c r="H254" t="s">
        <v>24</v>
      </c>
      <c r="I254" t="s">
        <v>26</v>
      </c>
      <c r="J254" t="s">
        <v>22</v>
      </c>
      <c r="K254" t="s">
        <v>25</v>
      </c>
      <c r="L254" t="s">
        <v>17</v>
      </c>
      <c r="M254" t="s">
        <v>24</v>
      </c>
      <c r="N254" t="s">
        <v>26</v>
      </c>
      <c r="O254" t="s">
        <v>22</v>
      </c>
    </row>
    <row r="255" spans="1:15">
      <c r="A255" t="s">
        <v>76</v>
      </c>
      <c r="B255">
        <f t="shared" ref="B255:B274" si="16">1/3.95</f>
        <v>0.25316455696202528</v>
      </c>
      <c r="C255">
        <f t="shared" ref="C255:C274" si="17">1/16/3.95</f>
        <v>1.582278481012658E-2</v>
      </c>
      <c r="D255">
        <v>1.6</v>
      </c>
      <c r="E255" t="s">
        <v>82</v>
      </c>
      <c r="F255" t="s">
        <v>24</v>
      </c>
      <c r="G255" t="s">
        <v>20</v>
      </c>
      <c r="H255" t="s">
        <v>22</v>
      </c>
      <c r="I255" t="s">
        <v>21</v>
      </c>
      <c r="J255" t="s">
        <v>17</v>
      </c>
      <c r="K255" t="s">
        <v>24</v>
      </c>
      <c r="L255" t="s">
        <v>20</v>
      </c>
      <c r="M255" t="s">
        <v>22</v>
      </c>
      <c r="N255" t="s">
        <v>21</v>
      </c>
      <c r="O255" t="s">
        <v>17</v>
      </c>
    </row>
    <row r="256" spans="1:15">
      <c r="A256" t="s">
        <v>76</v>
      </c>
      <c r="B256">
        <f t="shared" si="16"/>
        <v>0.25316455696202528</v>
      </c>
      <c r="C256">
        <f t="shared" si="17"/>
        <v>1.582278481012658E-2</v>
      </c>
      <c r="D256">
        <v>1.5</v>
      </c>
      <c r="E256" t="s">
        <v>82</v>
      </c>
      <c r="F256" t="s">
        <v>22</v>
      </c>
      <c r="G256" t="s">
        <v>26</v>
      </c>
      <c r="H256" t="s">
        <v>23</v>
      </c>
      <c r="I256" t="s">
        <v>21</v>
      </c>
      <c r="J256" t="s">
        <v>25</v>
      </c>
      <c r="K256" t="s">
        <v>22</v>
      </c>
      <c r="L256" t="s">
        <v>26</v>
      </c>
      <c r="M256" t="s">
        <v>23</v>
      </c>
      <c r="N256" t="s">
        <v>21</v>
      </c>
      <c r="O256" t="s">
        <v>25</v>
      </c>
    </row>
    <row r="257" spans="1:15">
      <c r="A257" t="s">
        <v>76</v>
      </c>
      <c r="B257">
        <f t="shared" si="16"/>
        <v>0.25316455696202528</v>
      </c>
      <c r="C257">
        <f t="shared" si="17"/>
        <v>1.582278481012658E-2</v>
      </c>
      <c r="D257">
        <v>1.4</v>
      </c>
      <c r="E257" t="s">
        <v>82</v>
      </c>
      <c r="F257" t="s">
        <v>23</v>
      </c>
      <c r="G257" t="s">
        <v>20</v>
      </c>
      <c r="H257" t="s">
        <v>17</v>
      </c>
      <c r="I257" t="s">
        <v>24</v>
      </c>
      <c r="J257" t="s">
        <v>25</v>
      </c>
      <c r="K257" t="s">
        <v>23</v>
      </c>
      <c r="L257" t="s">
        <v>20</v>
      </c>
      <c r="M257" t="s">
        <v>17</v>
      </c>
      <c r="N257" t="s">
        <v>24</v>
      </c>
      <c r="O257" t="s">
        <v>25</v>
      </c>
    </row>
    <row r="258" spans="1:15">
      <c r="A258" t="s">
        <v>76</v>
      </c>
      <c r="B258">
        <f t="shared" si="16"/>
        <v>0.25316455696202528</v>
      </c>
      <c r="C258">
        <f t="shared" si="17"/>
        <v>1.582278481012658E-2</v>
      </c>
      <c r="D258">
        <v>1.3</v>
      </c>
      <c r="E258" t="s">
        <v>82</v>
      </c>
      <c r="F258" t="s">
        <v>26</v>
      </c>
      <c r="G258" t="s">
        <v>20</v>
      </c>
      <c r="H258" t="s">
        <v>24</v>
      </c>
      <c r="I258" t="s">
        <v>18</v>
      </c>
      <c r="J258" t="s">
        <v>25</v>
      </c>
      <c r="K258" t="s">
        <v>26</v>
      </c>
      <c r="L258" t="s">
        <v>20</v>
      </c>
      <c r="M258" t="s">
        <v>24</v>
      </c>
      <c r="N258" t="s">
        <v>18</v>
      </c>
      <c r="O258" t="s">
        <v>25</v>
      </c>
    </row>
    <row r="259" spans="1:15">
      <c r="A259" t="s">
        <v>76</v>
      </c>
      <c r="B259">
        <f t="shared" si="16"/>
        <v>0.25316455696202528</v>
      </c>
      <c r="C259">
        <f t="shared" si="17"/>
        <v>1.582278481012658E-2</v>
      </c>
      <c r="D259">
        <v>1.2</v>
      </c>
      <c r="E259" t="s">
        <v>82</v>
      </c>
      <c r="F259" t="s">
        <v>19</v>
      </c>
      <c r="G259" t="s">
        <v>21</v>
      </c>
      <c r="H259" t="s">
        <v>20</v>
      </c>
      <c r="I259" t="s">
        <v>24</v>
      </c>
      <c r="J259" t="s">
        <v>18</v>
      </c>
      <c r="K259" t="s">
        <v>19</v>
      </c>
      <c r="L259" t="s">
        <v>21</v>
      </c>
      <c r="M259" t="s">
        <v>20</v>
      </c>
      <c r="N259" t="s">
        <v>24</v>
      </c>
      <c r="O259" t="s">
        <v>18</v>
      </c>
    </row>
    <row r="260" spans="1:15">
      <c r="A260" t="s">
        <v>76</v>
      </c>
      <c r="B260">
        <f t="shared" si="16"/>
        <v>0.25316455696202528</v>
      </c>
      <c r="C260">
        <f t="shared" si="17"/>
        <v>1.582278481012658E-2</v>
      </c>
      <c r="D260">
        <v>1.1000000000000001</v>
      </c>
      <c r="E260" t="s">
        <v>82</v>
      </c>
      <c r="F260" t="s">
        <v>26</v>
      </c>
      <c r="G260" t="s">
        <v>19</v>
      </c>
      <c r="H260" t="s">
        <v>20</v>
      </c>
      <c r="I260" t="s">
        <v>24</v>
      </c>
      <c r="J260" t="s">
        <v>25</v>
      </c>
      <c r="K260" t="s">
        <v>26</v>
      </c>
      <c r="L260" t="s">
        <v>19</v>
      </c>
      <c r="M260" t="s">
        <v>20</v>
      </c>
      <c r="N260" t="s">
        <v>24</v>
      </c>
      <c r="O260" t="s">
        <v>25</v>
      </c>
    </row>
    <row r="261" spans="1:15">
      <c r="A261" t="s">
        <v>76</v>
      </c>
      <c r="B261">
        <f t="shared" si="16"/>
        <v>0.25316455696202528</v>
      </c>
      <c r="C261">
        <f t="shared" si="17"/>
        <v>1.582278481012658E-2</v>
      </c>
      <c r="D261">
        <v>1</v>
      </c>
      <c r="E261" t="s">
        <v>82</v>
      </c>
      <c r="F261" t="s">
        <v>23</v>
      </c>
      <c r="G261" t="s">
        <v>18</v>
      </c>
      <c r="H261" t="s">
        <v>26</v>
      </c>
      <c r="I261" t="s">
        <v>24</v>
      </c>
      <c r="J261" t="s">
        <v>20</v>
      </c>
      <c r="K261" t="s">
        <v>23</v>
      </c>
      <c r="L261" t="s">
        <v>18</v>
      </c>
      <c r="M261" t="s">
        <v>26</v>
      </c>
      <c r="N261" t="s">
        <v>24</v>
      </c>
      <c r="O261" t="s">
        <v>20</v>
      </c>
    </row>
    <row r="262" spans="1:15">
      <c r="A262" t="s">
        <v>76</v>
      </c>
      <c r="B262">
        <f t="shared" si="16"/>
        <v>0.25316455696202528</v>
      </c>
      <c r="C262">
        <f t="shared" si="17"/>
        <v>1.582278481012658E-2</v>
      </c>
      <c r="D262">
        <v>0.90000000000000102</v>
      </c>
      <c r="E262" t="s">
        <v>82</v>
      </c>
      <c r="F262" t="s">
        <v>20</v>
      </c>
      <c r="G262" t="s">
        <v>17</v>
      </c>
      <c r="H262" t="s">
        <v>24</v>
      </c>
      <c r="I262" t="s">
        <v>21</v>
      </c>
      <c r="J262" t="s">
        <v>22</v>
      </c>
      <c r="K262" t="s">
        <v>20</v>
      </c>
      <c r="L262" t="s">
        <v>17</v>
      </c>
      <c r="M262" t="s">
        <v>24</v>
      </c>
      <c r="N262" t="s">
        <v>21</v>
      </c>
      <c r="O262" t="s">
        <v>22</v>
      </c>
    </row>
    <row r="263" spans="1:15">
      <c r="A263" t="s">
        <v>76</v>
      </c>
      <c r="B263">
        <f t="shared" si="16"/>
        <v>0.25316455696202528</v>
      </c>
      <c r="C263">
        <f t="shared" si="17"/>
        <v>1.582278481012658E-2</v>
      </c>
      <c r="D263">
        <v>0.80000000000000104</v>
      </c>
      <c r="E263" t="s">
        <v>82</v>
      </c>
      <c r="F263" t="s">
        <v>20</v>
      </c>
      <c r="G263" t="s">
        <v>22</v>
      </c>
      <c r="H263" t="s">
        <v>25</v>
      </c>
      <c r="I263" t="s">
        <v>21</v>
      </c>
      <c r="J263" t="s">
        <v>26</v>
      </c>
      <c r="K263" t="s">
        <v>20</v>
      </c>
      <c r="L263" t="s">
        <v>22</v>
      </c>
      <c r="M263" t="s">
        <v>25</v>
      </c>
      <c r="N263" t="s">
        <v>21</v>
      </c>
      <c r="O263" t="s">
        <v>26</v>
      </c>
    </row>
    <row r="264" spans="1:15">
      <c r="A264" t="s">
        <v>76</v>
      </c>
      <c r="B264">
        <f t="shared" si="16"/>
        <v>0.25316455696202528</v>
      </c>
      <c r="C264">
        <f t="shared" si="17"/>
        <v>1.582278481012658E-2</v>
      </c>
      <c r="D264">
        <v>0.70000000000000095</v>
      </c>
      <c r="E264" t="s">
        <v>82</v>
      </c>
      <c r="F264" t="s">
        <v>22</v>
      </c>
      <c r="G264" t="s">
        <v>19</v>
      </c>
      <c r="H264" t="s">
        <v>18</v>
      </c>
      <c r="I264" t="s">
        <v>25</v>
      </c>
      <c r="J264" t="s">
        <v>26</v>
      </c>
      <c r="K264" t="s">
        <v>22</v>
      </c>
      <c r="M264" t="s">
        <v>18</v>
      </c>
      <c r="N264" t="s">
        <v>25</v>
      </c>
      <c r="O264" t="s">
        <v>26</v>
      </c>
    </row>
    <row r="265" spans="1:15">
      <c r="A265" t="s">
        <v>76</v>
      </c>
      <c r="B265">
        <f t="shared" si="16"/>
        <v>0.25316455696202528</v>
      </c>
      <c r="C265">
        <f t="shared" si="17"/>
        <v>1.582278481012658E-2</v>
      </c>
      <c r="D265">
        <v>0.6</v>
      </c>
      <c r="E265" t="s">
        <v>82</v>
      </c>
      <c r="F265" t="s">
        <v>24</v>
      </c>
      <c r="G265" t="s">
        <v>25</v>
      </c>
      <c r="H265" t="s">
        <v>17</v>
      </c>
      <c r="I265" t="s">
        <v>19</v>
      </c>
      <c r="J265" t="s">
        <v>21</v>
      </c>
    </row>
    <row r="266" spans="1:15">
      <c r="A266" t="s">
        <v>76</v>
      </c>
      <c r="B266">
        <f t="shared" si="16"/>
        <v>0.25316455696202528</v>
      </c>
      <c r="C266">
        <f t="shared" si="17"/>
        <v>1.582278481012658E-2</v>
      </c>
      <c r="D266">
        <v>0.5</v>
      </c>
      <c r="E266" t="s">
        <v>82</v>
      </c>
      <c r="F266" t="s">
        <v>24</v>
      </c>
      <c r="G266" t="s">
        <v>20</v>
      </c>
      <c r="H266" t="s">
        <v>26</v>
      </c>
      <c r="I266" t="s">
        <v>23</v>
      </c>
      <c r="J266" t="s">
        <v>18</v>
      </c>
    </row>
    <row r="267" spans="1:15">
      <c r="A267" t="s">
        <v>76</v>
      </c>
      <c r="B267">
        <f t="shared" si="16"/>
        <v>0.25316455696202528</v>
      </c>
      <c r="C267">
        <f t="shared" si="17"/>
        <v>1.582278481012658E-2</v>
      </c>
      <c r="D267">
        <v>0.4</v>
      </c>
      <c r="E267" t="s">
        <v>82</v>
      </c>
      <c r="F267" t="s">
        <v>17</v>
      </c>
      <c r="G267" t="s">
        <v>18</v>
      </c>
      <c r="H267" t="s">
        <v>19</v>
      </c>
      <c r="I267" t="s">
        <v>25</v>
      </c>
      <c r="J267" t="s">
        <v>21</v>
      </c>
    </row>
    <row r="268" spans="1:15">
      <c r="A268" t="s">
        <v>76</v>
      </c>
      <c r="B268">
        <f t="shared" si="16"/>
        <v>0.25316455696202528</v>
      </c>
      <c r="C268">
        <f t="shared" si="17"/>
        <v>1.582278481012658E-2</v>
      </c>
      <c r="D268">
        <v>0.3</v>
      </c>
      <c r="E268" t="s">
        <v>82</v>
      </c>
      <c r="F268" t="s">
        <v>24</v>
      </c>
      <c r="G268" t="s">
        <v>19</v>
      </c>
      <c r="H268" t="s">
        <v>18</v>
      </c>
      <c r="I268" t="s">
        <v>21</v>
      </c>
      <c r="J268" t="s">
        <v>17</v>
      </c>
    </row>
    <row r="269" spans="1:15">
      <c r="A269" t="s">
        <v>76</v>
      </c>
      <c r="B269">
        <f t="shared" si="16"/>
        <v>0.25316455696202528</v>
      </c>
      <c r="C269">
        <f t="shared" si="17"/>
        <v>1.582278481012658E-2</v>
      </c>
      <c r="D269">
        <v>0.2</v>
      </c>
      <c r="E269" t="s">
        <v>82</v>
      </c>
      <c r="F269" t="s">
        <v>19</v>
      </c>
      <c r="G269" t="s">
        <v>26</v>
      </c>
      <c r="H269" t="s">
        <v>20</v>
      </c>
      <c r="I269" t="s">
        <v>22</v>
      </c>
      <c r="J269" t="s">
        <v>25</v>
      </c>
    </row>
    <row r="270" spans="1:15">
      <c r="A270" t="s">
        <v>76</v>
      </c>
      <c r="B270">
        <f t="shared" si="16"/>
        <v>0.25316455696202528</v>
      </c>
      <c r="C270">
        <f t="shared" si="17"/>
        <v>1.582278481012658E-2</v>
      </c>
      <c r="D270">
        <v>9.9999999999999895E-2</v>
      </c>
      <c r="E270" t="s">
        <v>82</v>
      </c>
      <c r="F270" t="s">
        <v>21</v>
      </c>
      <c r="G270" t="s">
        <v>18</v>
      </c>
      <c r="H270" t="s">
        <v>22</v>
      </c>
      <c r="I270" t="s">
        <v>25</v>
      </c>
      <c r="J270" t="s">
        <v>17</v>
      </c>
    </row>
    <row r="271" spans="1:15">
      <c r="A271" t="s">
        <v>76</v>
      </c>
      <c r="B271">
        <f t="shared" si="16"/>
        <v>0.25316455696202528</v>
      </c>
      <c r="C271">
        <f t="shared" si="17"/>
        <v>1.582278481012658E-2</v>
      </c>
      <c r="D271">
        <v>0</v>
      </c>
      <c r="E271" t="s">
        <v>82</v>
      </c>
      <c r="F271" t="s">
        <v>21</v>
      </c>
      <c r="G271" t="s">
        <v>26</v>
      </c>
      <c r="H271" t="s">
        <v>23</v>
      </c>
      <c r="I271" t="s">
        <v>24</v>
      </c>
      <c r="J271" t="s">
        <v>20</v>
      </c>
    </row>
    <row r="272" spans="1:15">
      <c r="A272" t="s">
        <v>76</v>
      </c>
      <c r="B272">
        <f t="shared" si="16"/>
        <v>0.25316455696202528</v>
      </c>
      <c r="C272">
        <f t="shared" si="17"/>
        <v>1.582278481012658E-2</v>
      </c>
      <c r="D272">
        <v>-0.1</v>
      </c>
      <c r="E272" t="s">
        <v>82</v>
      </c>
      <c r="F272" t="s">
        <v>17</v>
      </c>
      <c r="G272" t="s">
        <v>24</v>
      </c>
      <c r="H272" t="s">
        <v>25</v>
      </c>
      <c r="I272" t="s">
        <v>19</v>
      </c>
      <c r="J272" t="s">
        <v>26</v>
      </c>
    </row>
    <row r="273" spans="1:15">
      <c r="A273" t="s">
        <v>76</v>
      </c>
      <c r="B273">
        <f t="shared" si="16"/>
        <v>0.25316455696202528</v>
      </c>
      <c r="C273">
        <f t="shared" si="17"/>
        <v>1.582278481012658E-2</v>
      </c>
      <c r="D273">
        <v>-0.2</v>
      </c>
      <c r="E273" t="s">
        <v>82</v>
      </c>
      <c r="F273" t="s">
        <v>24</v>
      </c>
      <c r="G273" t="s">
        <v>26</v>
      </c>
      <c r="H273" t="s">
        <v>25</v>
      </c>
      <c r="I273" t="s">
        <v>20</v>
      </c>
      <c r="J273" t="s">
        <v>18</v>
      </c>
    </row>
    <row r="274" spans="1:15">
      <c r="A274" t="s">
        <v>76</v>
      </c>
      <c r="B274">
        <f t="shared" si="16"/>
        <v>0.25316455696202528</v>
      </c>
      <c r="C274">
        <f t="shared" si="17"/>
        <v>1.582278481012658E-2</v>
      </c>
      <c r="D274">
        <v>-0.3</v>
      </c>
      <c r="E274" t="s">
        <v>82</v>
      </c>
      <c r="F274" t="s">
        <v>25</v>
      </c>
      <c r="G274" t="s">
        <v>22</v>
      </c>
      <c r="H274" t="s">
        <v>21</v>
      </c>
      <c r="I274" t="s">
        <v>24</v>
      </c>
      <c r="J274" t="s">
        <v>17</v>
      </c>
    </row>
    <row r="275" spans="1:15">
      <c r="A275" t="s">
        <v>77</v>
      </c>
      <c r="B275">
        <f>1/6.61</f>
        <v>0.15128593040847199</v>
      </c>
      <c r="C275">
        <f>1/16/6.61</f>
        <v>9.4553706505294995E-3</v>
      </c>
      <c r="D275">
        <v>1.7</v>
      </c>
      <c r="E275" t="s">
        <v>82</v>
      </c>
      <c r="F275" t="s">
        <v>24</v>
      </c>
      <c r="G275" t="s">
        <v>18</v>
      </c>
      <c r="H275" t="s">
        <v>25</v>
      </c>
      <c r="I275" t="s">
        <v>21</v>
      </c>
      <c r="J275" t="s">
        <v>20</v>
      </c>
      <c r="K275" t="s">
        <v>24</v>
      </c>
      <c r="L275" t="s">
        <v>18</v>
      </c>
      <c r="M275" t="s">
        <v>25</v>
      </c>
      <c r="N275" t="s">
        <v>21</v>
      </c>
      <c r="O275" t="s">
        <v>20</v>
      </c>
    </row>
    <row r="276" spans="1:15">
      <c r="A276" t="s">
        <v>77</v>
      </c>
      <c r="B276">
        <f t="shared" ref="B276:B295" si="18">1/6.61</f>
        <v>0.15128593040847199</v>
      </c>
      <c r="C276">
        <f t="shared" ref="C276:C295" si="19">1/16/6.61</f>
        <v>9.4553706505294995E-3</v>
      </c>
      <c r="D276">
        <v>1.6</v>
      </c>
      <c r="E276" t="s">
        <v>82</v>
      </c>
      <c r="F276" t="s">
        <v>18</v>
      </c>
      <c r="G276" t="s">
        <v>19</v>
      </c>
      <c r="H276" t="s">
        <v>22</v>
      </c>
      <c r="I276" t="s">
        <v>17</v>
      </c>
      <c r="J276" t="s">
        <v>26</v>
      </c>
      <c r="K276" t="s">
        <v>18</v>
      </c>
      <c r="L276" t="s">
        <v>19</v>
      </c>
      <c r="M276" t="s">
        <v>22</v>
      </c>
      <c r="N276" t="s">
        <v>17</v>
      </c>
      <c r="O276" t="s">
        <v>26</v>
      </c>
    </row>
    <row r="277" spans="1:15">
      <c r="A277" t="s">
        <v>77</v>
      </c>
      <c r="B277">
        <f t="shared" si="18"/>
        <v>0.15128593040847199</v>
      </c>
      <c r="C277">
        <f t="shared" si="19"/>
        <v>9.4553706505294995E-3</v>
      </c>
      <c r="D277">
        <v>1.5</v>
      </c>
      <c r="E277" t="s">
        <v>82</v>
      </c>
      <c r="F277" t="s">
        <v>20</v>
      </c>
      <c r="G277" t="s">
        <v>21</v>
      </c>
      <c r="H277" t="s">
        <v>22</v>
      </c>
      <c r="I277" t="s">
        <v>26</v>
      </c>
      <c r="J277" t="s">
        <v>18</v>
      </c>
      <c r="K277" t="s">
        <v>20</v>
      </c>
      <c r="L277" t="s">
        <v>21</v>
      </c>
      <c r="M277" t="s">
        <v>22</v>
      </c>
      <c r="N277" t="s">
        <v>26</v>
      </c>
      <c r="O277" t="s">
        <v>18</v>
      </c>
    </row>
    <row r="278" spans="1:15">
      <c r="A278" t="s">
        <v>77</v>
      </c>
      <c r="B278">
        <f t="shared" si="18"/>
        <v>0.15128593040847199</v>
      </c>
      <c r="C278">
        <f t="shared" si="19"/>
        <v>9.4553706505294995E-3</v>
      </c>
      <c r="D278">
        <v>1.4</v>
      </c>
      <c r="E278" t="s">
        <v>82</v>
      </c>
      <c r="F278" t="s">
        <v>25</v>
      </c>
      <c r="G278" t="s">
        <v>23</v>
      </c>
      <c r="H278" t="s">
        <v>19</v>
      </c>
      <c r="I278" t="s">
        <v>20</v>
      </c>
      <c r="J278" t="s">
        <v>17</v>
      </c>
      <c r="K278" t="s">
        <v>25</v>
      </c>
      <c r="L278" t="s">
        <v>23</v>
      </c>
      <c r="M278" t="s">
        <v>19</v>
      </c>
      <c r="N278" t="s">
        <v>20</v>
      </c>
      <c r="O278" t="s">
        <v>17</v>
      </c>
    </row>
    <row r="279" spans="1:15">
      <c r="A279" t="s">
        <v>77</v>
      </c>
      <c r="B279">
        <f t="shared" si="18"/>
        <v>0.15128593040847199</v>
      </c>
      <c r="C279">
        <f t="shared" si="19"/>
        <v>9.4553706505294995E-3</v>
      </c>
      <c r="D279">
        <v>1.3</v>
      </c>
      <c r="E279" t="s">
        <v>82</v>
      </c>
      <c r="F279" t="s">
        <v>25</v>
      </c>
      <c r="G279" t="s">
        <v>19</v>
      </c>
      <c r="H279" t="s">
        <v>18</v>
      </c>
      <c r="I279" t="s">
        <v>20</v>
      </c>
      <c r="J279" t="s">
        <v>24</v>
      </c>
      <c r="K279" t="s">
        <v>25</v>
      </c>
      <c r="L279" t="s">
        <v>19</v>
      </c>
      <c r="M279" t="s">
        <v>18</v>
      </c>
      <c r="N279" t="s">
        <v>20</v>
      </c>
      <c r="O279" t="s">
        <v>24</v>
      </c>
    </row>
    <row r="280" spans="1:15">
      <c r="A280" t="s">
        <v>77</v>
      </c>
      <c r="B280">
        <f t="shared" si="18"/>
        <v>0.15128593040847199</v>
      </c>
      <c r="C280">
        <f t="shared" si="19"/>
        <v>9.4553706505294995E-3</v>
      </c>
      <c r="D280">
        <v>1.2</v>
      </c>
      <c r="E280" t="s">
        <v>82</v>
      </c>
      <c r="F280" t="s">
        <v>25</v>
      </c>
      <c r="G280" t="s">
        <v>19</v>
      </c>
      <c r="H280" t="s">
        <v>21</v>
      </c>
      <c r="I280" t="s">
        <v>22</v>
      </c>
      <c r="J280" t="s">
        <v>18</v>
      </c>
      <c r="L280" t="s">
        <v>19</v>
      </c>
      <c r="M280" t="s">
        <v>21</v>
      </c>
      <c r="N280" t="s">
        <v>22</v>
      </c>
      <c r="O280" t="s">
        <v>18</v>
      </c>
    </row>
    <row r="281" spans="1:15">
      <c r="A281" t="s">
        <v>77</v>
      </c>
      <c r="B281">
        <f t="shared" si="18"/>
        <v>0.15128593040847199</v>
      </c>
      <c r="C281">
        <f t="shared" si="19"/>
        <v>9.4553706505294995E-3</v>
      </c>
      <c r="D281">
        <v>1.1000000000000001</v>
      </c>
      <c r="E281" t="s">
        <v>82</v>
      </c>
      <c r="F281" t="s">
        <v>21</v>
      </c>
      <c r="G281" t="s">
        <v>17</v>
      </c>
      <c r="H281" t="s">
        <v>22</v>
      </c>
      <c r="I281" t="s">
        <v>24</v>
      </c>
      <c r="J281" t="s">
        <v>19</v>
      </c>
    </row>
    <row r="282" spans="1:15">
      <c r="A282" t="s">
        <v>77</v>
      </c>
      <c r="B282">
        <f t="shared" si="18"/>
        <v>0.15128593040847199</v>
      </c>
      <c r="C282">
        <f t="shared" si="19"/>
        <v>9.4553706505294995E-3</v>
      </c>
      <c r="D282">
        <v>1</v>
      </c>
      <c r="E282" t="s">
        <v>82</v>
      </c>
      <c r="F282" t="s">
        <v>20</v>
      </c>
      <c r="G282" t="s">
        <v>21</v>
      </c>
      <c r="H282" t="s">
        <v>23</v>
      </c>
      <c r="I282" t="s">
        <v>26</v>
      </c>
      <c r="J282" t="s">
        <v>25</v>
      </c>
    </row>
    <row r="283" spans="1:15">
      <c r="A283" t="s">
        <v>77</v>
      </c>
      <c r="B283">
        <f t="shared" si="18"/>
        <v>0.15128593040847199</v>
      </c>
      <c r="C283">
        <f t="shared" si="19"/>
        <v>9.4553706505294995E-3</v>
      </c>
      <c r="D283">
        <v>0.90000000000000102</v>
      </c>
      <c r="E283" t="s">
        <v>82</v>
      </c>
      <c r="F283" t="s">
        <v>19</v>
      </c>
      <c r="G283" t="s">
        <v>24</v>
      </c>
      <c r="H283" t="s">
        <v>18</v>
      </c>
      <c r="I283" t="s">
        <v>22</v>
      </c>
      <c r="J283" t="s">
        <v>25</v>
      </c>
    </row>
    <row r="284" spans="1:15">
      <c r="A284" t="s">
        <v>77</v>
      </c>
      <c r="B284">
        <f t="shared" si="18"/>
        <v>0.15128593040847199</v>
      </c>
      <c r="C284">
        <f t="shared" si="19"/>
        <v>9.4553706505294995E-3</v>
      </c>
      <c r="D284">
        <v>0.80000000000000104</v>
      </c>
      <c r="E284" t="s">
        <v>82</v>
      </c>
      <c r="F284" t="s">
        <v>24</v>
      </c>
      <c r="G284" t="s">
        <v>19</v>
      </c>
      <c r="H284" t="s">
        <v>18</v>
      </c>
      <c r="I284" t="s">
        <v>22</v>
      </c>
      <c r="J284" t="s">
        <v>21</v>
      </c>
    </row>
    <row r="285" spans="1:15">
      <c r="A285" t="s">
        <v>77</v>
      </c>
      <c r="B285">
        <f t="shared" si="18"/>
        <v>0.15128593040847199</v>
      </c>
      <c r="C285">
        <f t="shared" si="19"/>
        <v>9.4553706505294995E-3</v>
      </c>
      <c r="D285">
        <v>0.70000000000000095</v>
      </c>
      <c r="E285" t="s">
        <v>82</v>
      </c>
      <c r="F285" t="s">
        <v>19</v>
      </c>
      <c r="G285" t="s">
        <v>20</v>
      </c>
      <c r="H285" t="s">
        <v>18</v>
      </c>
      <c r="I285" t="s">
        <v>25</v>
      </c>
      <c r="J285" t="s">
        <v>26</v>
      </c>
    </row>
    <row r="286" spans="1:15">
      <c r="A286" t="s">
        <v>77</v>
      </c>
      <c r="B286">
        <f t="shared" si="18"/>
        <v>0.15128593040847199</v>
      </c>
      <c r="C286">
        <f t="shared" si="19"/>
        <v>9.4553706505294995E-3</v>
      </c>
      <c r="D286">
        <v>0.6</v>
      </c>
      <c r="E286" t="s">
        <v>82</v>
      </c>
      <c r="F286" t="s">
        <v>23</v>
      </c>
      <c r="G286" t="s">
        <v>24</v>
      </c>
      <c r="H286" t="s">
        <v>25</v>
      </c>
      <c r="I286" t="s">
        <v>17</v>
      </c>
      <c r="J286" t="s">
        <v>21</v>
      </c>
    </row>
    <row r="287" spans="1:15">
      <c r="A287" t="s">
        <v>77</v>
      </c>
      <c r="B287">
        <f t="shared" si="18"/>
        <v>0.15128593040847199</v>
      </c>
      <c r="C287">
        <f t="shared" si="19"/>
        <v>9.4553706505294995E-3</v>
      </c>
      <c r="D287">
        <v>0.5</v>
      </c>
      <c r="E287" t="s">
        <v>82</v>
      </c>
      <c r="F287" t="s">
        <v>17</v>
      </c>
      <c r="G287" t="s">
        <v>22</v>
      </c>
      <c r="H287" t="s">
        <v>19</v>
      </c>
      <c r="I287" t="s">
        <v>20</v>
      </c>
      <c r="J287" t="s">
        <v>18</v>
      </c>
    </row>
    <row r="288" spans="1:15">
      <c r="A288" t="s">
        <v>77</v>
      </c>
      <c r="B288">
        <f t="shared" si="18"/>
        <v>0.15128593040847199</v>
      </c>
      <c r="C288">
        <f t="shared" si="19"/>
        <v>9.4553706505294995E-3</v>
      </c>
      <c r="D288">
        <v>0.4</v>
      </c>
      <c r="E288" t="s">
        <v>82</v>
      </c>
      <c r="F288" t="s">
        <v>24</v>
      </c>
      <c r="G288" t="s">
        <v>20</v>
      </c>
      <c r="H288" t="s">
        <v>17</v>
      </c>
      <c r="I288" t="s">
        <v>23</v>
      </c>
      <c r="J288" t="s">
        <v>18</v>
      </c>
    </row>
    <row r="289" spans="1:15">
      <c r="A289" t="s">
        <v>77</v>
      </c>
      <c r="B289">
        <f t="shared" si="18"/>
        <v>0.15128593040847199</v>
      </c>
      <c r="C289">
        <f t="shared" si="19"/>
        <v>9.4553706505294995E-3</v>
      </c>
      <c r="D289">
        <v>0.3</v>
      </c>
      <c r="E289" t="s">
        <v>82</v>
      </c>
      <c r="F289" t="s">
        <v>22</v>
      </c>
      <c r="G289" t="s">
        <v>21</v>
      </c>
      <c r="H289" t="s">
        <v>18</v>
      </c>
      <c r="I289" t="s">
        <v>20</v>
      </c>
      <c r="J289" t="s">
        <v>17</v>
      </c>
    </row>
    <row r="290" spans="1:15">
      <c r="A290" t="s">
        <v>77</v>
      </c>
      <c r="B290">
        <f t="shared" si="18"/>
        <v>0.15128593040847199</v>
      </c>
      <c r="C290">
        <f t="shared" si="19"/>
        <v>9.4553706505294995E-3</v>
      </c>
      <c r="D290">
        <v>0.2</v>
      </c>
      <c r="E290" t="s">
        <v>82</v>
      </c>
      <c r="F290" t="s">
        <v>18</v>
      </c>
      <c r="G290" t="s">
        <v>19</v>
      </c>
      <c r="H290" t="s">
        <v>17</v>
      </c>
      <c r="I290" t="s">
        <v>21</v>
      </c>
      <c r="J290" t="s">
        <v>20</v>
      </c>
    </row>
    <row r="291" spans="1:15">
      <c r="A291" t="s">
        <v>77</v>
      </c>
      <c r="B291">
        <f t="shared" si="18"/>
        <v>0.15128593040847199</v>
      </c>
      <c r="C291">
        <f t="shared" si="19"/>
        <v>9.4553706505294995E-3</v>
      </c>
      <c r="D291">
        <v>9.9999999999999895E-2</v>
      </c>
      <c r="E291" t="s">
        <v>82</v>
      </c>
      <c r="F291" t="s">
        <v>24</v>
      </c>
      <c r="G291" t="s">
        <v>17</v>
      </c>
      <c r="H291" t="s">
        <v>19</v>
      </c>
      <c r="I291" t="s">
        <v>23</v>
      </c>
      <c r="J291" t="s">
        <v>20</v>
      </c>
    </row>
    <row r="292" spans="1:15">
      <c r="A292" t="s">
        <v>77</v>
      </c>
      <c r="B292">
        <f t="shared" si="18"/>
        <v>0.15128593040847199</v>
      </c>
      <c r="C292">
        <f t="shared" si="19"/>
        <v>9.4553706505294995E-3</v>
      </c>
      <c r="D292">
        <v>0</v>
      </c>
      <c r="E292" t="s">
        <v>82</v>
      </c>
      <c r="F292" t="s">
        <v>18</v>
      </c>
      <c r="G292" t="s">
        <v>25</v>
      </c>
      <c r="H292" t="s">
        <v>23</v>
      </c>
      <c r="I292" t="s">
        <v>22</v>
      </c>
      <c r="J292" t="s">
        <v>21</v>
      </c>
    </row>
    <row r="293" spans="1:15">
      <c r="A293" t="s">
        <v>77</v>
      </c>
      <c r="B293">
        <f t="shared" si="18"/>
        <v>0.15128593040847199</v>
      </c>
      <c r="C293">
        <f t="shared" si="19"/>
        <v>9.4553706505294995E-3</v>
      </c>
      <c r="D293">
        <v>-0.1</v>
      </c>
      <c r="E293" t="s">
        <v>82</v>
      </c>
      <c r="F293" t="s">
        <v>23</v>
      </c>
      <c r="G293" t="s">
        <v>21</v>
      </c>
      <c r="H293" t="s">
        <v>20</v>
      </c>
      <c r="I293" t="s">
        <v>22</v>
      </c>
      <c r="J293" t="s">
        <v>19</v>
      </c>
    </row>
    <row r="294" spans="1:15">
      <c r="A294" t="s">
        <v>77</v>
      </c>
      <c r="B294">
        <f t="shared" si="18"/>
        <v>0.15128593040847199</v>
      </c>
      <c r="C294">
        <f t="shared" si="19"/>
        <v>9.4553706505294995E-3</v>
      </c>
      <c r="D294">
        <v>-0.2</v>
      </c>
      <c r="E294" t="s">
        <v>82</v>
      </c>
      <c r="F294" t="s">
        <v>18</v>
      </c>
      <c r="G294" t="s">
        <v>17</v>
      </c>
      <c r="H294" t="s">
        <v>26</v>
      </c>
      <c r="I294" t="s">
        <v>25</v>
      </c>
      <c r="J294" t="s">
        <v>24</v>
      </c>
    </row>
    <row r="295" spans="1:15">
      <c r="A295" t="s">
        <v>77</v>
      </c>
      <c r="B295">
        <f t="shared" si="18"/>
        <v>0.15128593040847199</v>
      </c>
      <c r="C295">
        <f t="shared" si="19"/>
        <v>9.4553706505294995E-3</v>
      </c>
      <c r="D295">
        <v>-0.3</v>
      </c>
      <c r="E295" t="s">
        <v>82</v>
      </c>
      <c r="F295" t="s">
        <v>22</v>
      </c>
      <c r="G295" t="s">
        <v>19</v>
      </c>
      <c r="H295" t="s">
        <v>17</v>
      </c>
      <c r="I295" t="s">
        <v>26</v>
      </c>
      <c r="J295" t="s">
        <v>20</v>
      </c>
    </row>
    <row r="296" spans="1:15">
      <c r="A296" t="s">
        <v>78</v>
      </c>
      <c r="B296">
        <f>1/10.68</f>
        <v>9.3632958801498134E-2</v>
      </c>
      <c r="C296">
        <f>1/16/10.68</f>
        <v>5.8520599250936334E-3</v>
      </c>
      <c r="D296">
        <v>1.7</v>
      </c>
      <c r="E296" t="s">
        <v>82</v>
      </c>
      <c r="F296" t="s">
        <v>26</v>
      </c>
      <c r="G296" t="s">
        <v>22</v>
      </c>
      <c r="H296" t="s">
        <v>21</v>
      </c>
      <c r="I296" t="s">
        <v>20</v>
      </c>
      <c r="J296" t="s">
        <v>19</v>
      </c>
      <c r="K296" t="s">
        <v>26</v>
      </c>
      <c r="L296" t="s">
        <v>22</v>
      </c>
      <c r="M296" t="s">
        <v>21</v>
      </c>
      <c r="N296" t="s">
        <v>20</v>
      </c>
      <c r="O296" t="s">
        <v>19</v>
      </c>
    </row>
    <row r="297" spans="1:15">
      <c r="A297" t="s">
        <v>78</v>
      </c>
      <c r="B297">
        <f t="shared" ref="B297:B316" si="20">1/10.68</f>
        <v>9.3632958801498134E-2</v>
      </c>
      <c r="C297">
        <f t="shared" ref="C297:C316" si="21">1/16/10.68</f>
        <v>5.8520599250936334E-3</v>
      </c>
      <c r="D297">
        <v>1.6</v>
      </c>
      <c r="E297" t="s">
        <v>82</v>
      </c>
      <c r="F297" t="s">
        <v>17</v>
      </c>
      <c r="G297" t="s">
        <v>26</v>
      </c>
      <c r="H297" t="s">
        <v>21</v>
      </c>
      <c r="I297" t="s">
        <v>25</v>
      </c>
      <c r="J297" t="s">
        <v>19</v>
      </c>
    </row>
    <row r="298" spans="1:15">
      <c r="A298" t="s">
        <v>78</v>
      </c>
      <c r="B298">
        <f t="shared" si="20"/>
        <v>9.3632958801498134E-2</v>
      </c>
      <c r="C298">
        <f t="shared" si="21"/>
        <v>5.8520599250936334E-3</v>
      </c>
      <c r="D298">
        <v>1.5</v>
      </c>
      <c r="E298" t="s">
        <v>82</v>
      </c>
      <c r="F298" t="s">
        <v>22</v>
      </c>
      <c r="G298" t="s">
        <v>19</v>
      </c>
      <c r="H298" t="s">
        <v>20</v>
      </c>
      <c r="I298" t="s">
        <v>18</v>
      </c>
      <c r="J298" t="s">
        <v>21</v>
      </c>
    </row>
    <row r="299" spans="1:15">
      <c r="A299" t="s">
        <v>78</v>
      </c>
      <c r="B299">
        <f t="shared" si="20"/>
        <v>9.3632958801498134E-2</v>
      </c>
      <c r="C299">
        <f t="shared" si="21"/>
        <v>5.8520599250936334E-3</v>
      </c>
      <c r="D299">
        <v>1.4</v>
      </c>
      <c r="E299" t="s">
        <v>82</v>
      </c>
      <c r="F299" t="s">
        <v>22</v>
      </c>
      <c r="G299" t="s">
        <v>26</v>
      </c>
      <c r="H299" t="s">
        <v>19</v>
      </c>
      <c r="I299" t="s">
        <v>25</v>
      </c>
      <c r="J299" t="s">
        <v>20</v>
      </c>
    </row>
    <row r="300" spans="1:15">
      <c r="A300" t="s">
        <v>78</v>
      </c>
      <c r="B300">
        <f t="shared" si="20"/>
        <v>9.3632958801498134E-2</v>
      </c>
      <c r="C300">
        <f t="shared" si="21"/>
        <v>5.8520599250936334E-3</v>
      </c>
      <c r="D300">
        <v>1.3</v>
      </c>
      <c r="E300" t="s">
        <v>82</v>
      </c>
      <c r="F300" t="s">
        <v>26</v>
      </c>
      <c r="G300" t="s">
        <v>22</v>
      </c>
      <c r="H300" t="s">
        <v>23</v>
      </c>
      <c r="I300" t="s">
        <v>21</v>
      </c>
      <c r="J300" t="s">
        <v>17</v>
      </c>
    </row>
    <row r="301" spans="1:15">
      <c r="A301" t="s">
        <v>78</v>
      </c>
      <c r="B301">
        <f t="shared" si="20"/>
        <v>9.3632958801498134E-2</v>
      </c>
      <c r="C301">
        <f t="shared" si="21"/>
        <v>5.8520599250936334E-3</v>
      </c>
      <c r="D301">
        <v>1.2</v>
      </c>
      <c r="E301" t="s">
        <v>82</v>
      </c>
      <c r="F301" t="s">
        <v>26</v>
      </c>
      <c r="G301" t="s">
        <v>24</v>
      </c>
      <c r="H301" t="s">
        <v>18</v>
      </c>
      <c r="I301" t="s">
        <v>23</v>
      </c>
      <c r="J301" t="s">
        <v>25</v>
      </c>
    </row>
    <row r="302" spans="1:15">
      <c r="A302" t="s">
        <v>78</v>
      </c>
      <c r="B302">
        <f t="shared" si="20"/>
        <v>9.3632958801498134E-2</v>
      </c>
      <c r="C302">
        <f t="shared" si="21"/>
        <v>5.8520599250936334E-3</v>
      </c>
      <c r="D302">
        <v>1.1000000000000001</v>
      </c>
      <c r="E302" t="s">
        <v>82</v>
      </c>
      <c r="F302" t="s">
        <v>24</v>
      </c>
      <c r="G302" t="s">
        <v>17</v>
      </c>
      <c r="H302" t="s">
        <v>23</v>
      </c>
      <c r="I302" t="s">
        <v>19</v>
      </c>
      <c r="J302" t="s">
        <v>18</v>
      </c>
    </row>
    <row r="303" spans="1:15">
      <c r="A303" t="s">
        <v>78</v>
      </c>
      <c r="B303">
        <f t="shared" si="20"/>
        <v>9.3632958801498134E-2</v>
      </c>
      <c r="C303">
        <f t="shared" si="21"/>
        <v>5.8520599250936334E-3</v>
      </c>
      <c r="D303">
        <v>1</v>
      </c>
      <c r="E303" t="s">
        <v>82</v>
      </c>
      <c r="F303" t="s">
        <v>22</v>
      </c>
      <c r="G303" t="s">
        <v>23</v>
      </c>
      <c r="H303" t="s">
        <v>17</v>
      </c>
      <c r="I303" t="s">
        <v>24</v>
      </c>
      <c r="J303" t="s">
        <v>19</v>
      </c>
    </row>
    <row r="304" spans="1:15">
      <c r="A304" t="s">
        <v>78</v>
      </c>
      <c r="B304">
        <f t="shared" si="20"/>
        <v>9.3632958801498134E-2</v>
      </c>
      <c r="C304">
        <f t="shared" si="21"/>
        <v>5.8520599250936334E-3</v>
      </c>
      <c r="D304">
        <v>0.90000000000000102</v>
      </c>
      <c r="E304" t="s">
        <v>82</v>
      </c>
      <c r="F304" t="s">
        <v>25</v>
      </c>
      <c r="G304" t="s">
        <v>17</v>
      </c>
      <c r="H304" t="s">
        <v>21</v>
      </c>
      <c r="I304" t="s">
        <v>18</v>
      </c>
      <c r="J304" t="s">
        <v>24</v>
      </c>
    </row>
    <row r="305" spans="1:10">
      <c r="A305" t="s">
        <v>78</v>
      </c>
      <c r="B305">
        <f t="shared" si="20"/>
        <v>9.3632958801498134E-2</v>
      </c>
      <c r="C305">
        <f t="shared" si="21"/>
        <v>5.8520599250936334E-3</v>
      </c>
      <c r="D305">
        <v>0.80000000000000104</v>
      </c>
      <c r="E305" t="s">
        <v>82</v>
      </c>
      <c r="F305" t="s">
        <v>24</v>
      </c>
      <c r="G305" t="s">
        <v>20</v>
      </c>
      <c r="H305" t="s">
        <v>23</v>
      </c>
      <c r="I305" t="s">
        <v>25</v>
      </c>
      <c r="J305" t="s">
        <v>26</v>
      </c>
    </row>
    <row r="306" spans="1:10">
      <c r="A306" t="s">
        <v>78</v>
      </c>
      <c r="B306">
        <f t="shared" si="20"/>
        <v>9.3632958801498134E-2</v>
      </c>
      <c r="C306">
        <f t="shared" si="21"/>
        <v>5.8520599250936334E-3</v>
      </c>
      <c r="D306">
        <v>0.70000000000000095</v>
      </c>
      <c r="E306" t="s">
        <v>82</v>
      </c>
      <c r="F306" t="s">
        <v>22</v>
      </c>
      <c r="G306" t="s">
        <v>20</v>
      </c>
      <c r="H306" t="s">
        <v>24</v>
      </c>
      <c r="I306" t="s">
        <v>23</v>
      </c>
      <c r="J306" t="s">
        <v>18</v>
      </c>
    </row>
    <row r="307" spans="1:10">
      <c r="A307" t="s">
        <v>78</v>
      </c>
      <c r="B307">
        <f t="shared" si="20"/>
        <v>9.3632958801498134E-2</v>
      </c>
      <c r="C307">
        <f t="shared" si="21"/>
        <v>5.8520599250936334E-3</v>
      </c>
      <c r="D307">
        <v>0.6</v>
      </c>
      <c r="E307" t="s">
        <v>82</v>
      </c>
      <c r="F307" t="s">
        <v>22</v>
      </c>
      <c r="G307" t="s">
        <v>24</v>
      </c>
      <c r="H307" t="s">
        <v>23</v>
      </c>
      <c r="I307" t="s">
        <v>17</v>
      </c>
      <c r="J307" t="s">
        <v>18</v>
      </c>
    </row>
    <row r="308" spans="1:10">
      <c r="A308" t="s">
        <v>78</v>
      </c>
      <c r="B308">
        <f t="shared" si="20"/>
        <v>9.3632958801498134E-2</v>
      </c>
      <c r="C308">
        <f t="shared" si="21"/>
        <v>5.8520599250936334E-3</v>
      </c>
      <c r="D308">
        <v>0.5</v>
      </c>
      <c r="E308" t="s">
        <v>82</v>
      </c>
      <c r="F308" t="s">
        <v>25</v>
      </c>
      <c r="G308" t="s">
        <v>24</v>
      </c>
      <c r="H308" t="s">
        <v>17</v>
      </c>
      <c r="I308" t="s">
        <v>20</v>
      </c>
      <c r="J308" t="s">
        <v>19</v>
      </c>
    </row>
    <row r="309" spans="1:10">
      <c r="A309" t="s">
        <v>78</v>
      </c>
      <c r="B309">
        <f t="shared" si="20"/>
        <v>9.3632958801498134E-2</v>
      </c>
      <c r="C309">
        <f t="shared" si="21"/>
        <v>5.8520599250936334E-3</v>
      </c>
      <c r="D309">
        <v>0.4</v>
      </c>
      <c r="E309" t="s">
        <v>82</v>
      </c>
      <c r="F309" t="s">
        <v>21</v>
      </c>
      <c r="G309" t="s">
        <v>25</v>
      </c>
      <c r="H309" t="s">
        <v>19</v>
      </c>
      <c r="I309" t="s">
        <v>22</v>
      </c>
      <c r="J309" t="s">
        <v>17</v>
      </c>
    </row>
    <row r="310" spans="1:10">
      <c r="A310" t="s">
        <v>78</v>
      </c>
      <c r="B310">
        <f t="shared" si="20"/>
        <v>9.3632958801498134E-2</v>
      </c>
      <c r="C310">
        <f t="shared" si="21"/>
        <v>5.8520599250936334E-3</v>
      </c>
      <c r="D310">
        <v>0.3</v>
      </c>
      <c r="E310" t="s">
        <v>82</v>
      </c>
      <c r="F310" t="s">
        <v>23</v>
      </c>
      <c r="G310" t="s">
        <v>24</v>
      </c>
      <c r="H310" t="s">
        <v>21</v>
      </c>
      <c r="I310" t="s">
        <v>17</v>
      </c>
      <c r="J310" t="s">
        <v>19</v>
      </c>
    </row>
    <row r="311" spans="1:10">
      <c r="A311" t="s">
        <v>78</v>
      </c>
      <c r="B311">
        <f t="shared" si="20"/>
        <v>9.3632958801498134E-2</v>
      </c>
      <c r="C311">
        <f t="shared" si="21"/>
        <v>5.8520599250936334E-3</v>
      </c>
      <c r="D311">
        <v>0.2</v>
      </c>
      <c r="E311" t="s">
        <v>82</v>
      </c>
      <c r="F311" t="s">
        <v>17</v>
      </c>
      <c r="G311" t="s">
        <v>18</v>
      </c>
      <c r="H311" t="s">
        <v>19</v>
      </c>
      <c r="I311" t="s">
        <v>22</v>
      </c>
      <c r="J311" t="s">
        <v>25</v>
      </c>
    </row>
    <row r="312" spans="1:10">
      <c r="A312" t="s">
        <v>78</v>
      </c>
      <c r="B312">
        <f t="shared" si="20"/>
        <v>9.3632958801498134E-2</v>
      </c>
      <c r="C312">
        <f t="shared" si="21"/>
        <v>5.8520599250936334E-3</v>
      </c>
      <c r="D312">
        <v>9.9999999999999895E-2</v>
      </c>
      <c r="E312" t="s">
        <v>82</v>
      </c>
      <c r="F312" t="s">
        <v>19</v>
      </c>
      <c r="G312" t="s">
        <v>23</v>
      </c>
      <c r="H312" t="s">
        <v>25</v>
      </c>
      <c r="I312" t="s">
        <v>17</v>
      </c>
      <c r="J312" t="s">
        <v>18</v>
      </c>
    </row>
    <row r="313" spans="1:10">
      <c r="A313" t="s">
        <v>78</v>
      </c>
      <c r="B313">
        <f t="shared" si="20"/>
        <v>9.3632958801498134E-2</v>
      </c>
      <c r="C313">
        <f t="shared" si="21"/>
        <v>5.8520599250936334E-3</v>
      </c>
      <c r="D313">
        <v>0</v>
      </c>
      <c r="E313" t="s">
        <v>82</v>
      </c>
      <c r="F313" t="s">
        <v>20</v>
      </c>
      <c r="G313" t="s">
        <v>25</v>
      </c>
      <c r="H313" t="s">
        <v>17</v>
      </c>
      <c r="I313" t="s">
        <v>22</v>
      </c>
      <c r="J313" t="s">
        <v>19</v>
      </c>
    </row>
    <row r="314" spans="1:10">
      <c r="A314" t="s">
        <v>78</v>
      </c>
      <c r="B314">
        <f t="shared" si="20"/>
        <v>9.3632958801498134E-2</v>
      </c>
      <c r="C314">
        <f t="shared" si="21"/>
        <v>5.8520599250936334E-3</v>
      </c>
      <c r="D314">
        <v>-0.1</v>
      </c>
      <c r="E314" t="s">
        <v>82</v>
      </c>
      <c r="F314" t="s">
        <v>25</v>
      </c>
      <c r="G314" t="s">
        <v>23</v>
      </c>
      <c r="H314" t="s">
        <v>26</v>
      </c>
      <c r="I314" t="s">
        <v>22</v>
      </c>
      <c r="J314" t="s">
        <v>18</v>
      </c>
    </row>
    <row r="315" spans="1:10">
      <c r="A315" t="s">
        <v>78</v>
      </c>
      <c r="B315">
        <f t="shared" si="20"/>
        <v>9.3632958801498134E-2</v>
      </c>
      <c r="C315">
        <f t="shared" si="21"/>
        <v>5.8520599250936334E-3</v>
      </c>
      <c r="D315">
        <v>-0.2</v>
      </c>
      <c r="E315" t="s">
        <v>82</v>
      </c>
      <c r="F315" t="s">
        <v>17</v>
      </c>
      <c r="G315" t="s">
        <v>21</v>
      </c>
      <c r="H315" t="s">
        <v>22</v>
      </c>
      <c r="I315" t="s">
        <v>18</v>
      </c>
      <c r="J315" t="s">
        <v>24</v>
      </c>
    </row>
    <row r="316" spans="1:10">
      <c r="A316" t="s">
        <v>78</v>
      </c>
      <c r="B316">
        <f t="shared" si="20"/>
        <v>9.3632958801498134E-2</v>
      </c>
      <c r="C316">
        <f t="shared" si="21"/>
        <v>5.8520599250936334E-3</v>
      </c>
      <c r="D316">
        <v>-0.3</v>
      </c>
      <c r="E316" t="s">
        <v>82</v>
      </c>
      <c r="F316" t="s">
        <v>20</v>
      </c>
      <c r="G316" t="s">
        <v>17</v>
      </c>
      <c r="H316" t="s">
        <v>19</v>
      </c>
      <c r="I316" t="s">
        <v>24</v>
      </c>
      <c r="J316" t="s">
        <v>25</v>
      </c>
    </row>
    <row r="317" spans="1:10">
      <c r="A317" t="s">
        <v>79</v>
      </c>
      <c r="B317">
        <f>1/16.62</f>
        <v>6.0168471720818288E-2</v>
      </c>
      <c r="C317">
        <f>1/16/16.62</f>
        <v>3.760529482551143E-3</v>
      </c>
      <c r="D317">
        <v>1.7</v>
      </c>
      <c r="E317" t="s">
        <v>82</v>
      </c>
      <c r="F317" t="s">
        <v>19</v>
      </c>
      <c r="G317" t="s">
        <v>24</v>
      </c>
      <c r="H317" t="s">
        <v>21</v>
      </c>
      <c r="I317" t="s">
        <v>22</v>
      </c>
      <c r="J317" t="s">
        <v>18</v>
      </c>
    </row>
    <row r="318" spans="1:10">
      <c r="A318" t="s">
        <v>79</v>
      </c>
      <c r="B318">
        <f t="shared" ref="B318:B337" si="22">1/16.62</f>
        <v>6.0168471720818288E-2</v>
      </c>
      <c r="C318">
        <f t="shared" ref="C318:C337" si="23">1/16/16.62</f>
        <v>3.760529482551143E-3</v>
      </c>
      <c r="D318">
        <v>1.6</v>
      </c>
      <c r="E318" t="s">
        <v>82</v>
      </c>
      <c r="F318" t="s">
        <v>21</v>
      </c>
      <c r="G318" t="s">
        <v>20</v>
      </c>
      <c r="H318" t="s">
        <v>22</v>
      </c>
      <c r="I318" t="s">
        <v>17</v>
      </c>
      <c r="J318" t="s">
        <v>18</v>
      </c>
    </row>
    <row r="319" spans="1:10">
      <c r="A319" t="s">
        <v>79</v>
      </c>
      <c r="B319">
        <f t="shared" si="22"/>
        <v>6.0168471720818288E-2</v>
      </c>
      <c r="C319">
        <f t="shared" si="23"/>
        <v>3.760529482551143E-3</v>
      </c>
      <c r="D319">
        <v>1.5</v>
      </c>
      <c r="E319" t="s">
        <v>82</v>
      </c>
      <c r="F319" t="s">
        <v>23</v>
      </c>
      <c r="G319" t="s">
        <v>24</v>
      </c>
      <c r="H319" t="s">
        <v>18</v>
      </c>
      <c r="I319" t="s">
        <v>21</v>
      </c>
      <c r="J319" t="s">
        <v>19</v>
      </c>
    </row>
    <row r="320" spans="1:10">
      <c r="A320" t="s">
        <v>79</v>
      </c>
      <c r="B320">
        <f t="shared" si="22"/>
        <v>6.0168471720818288E-2</v>
      </c>
      <c r="C320">
        <f t="shared" si="23"/>
        <v>3.760529482551143E-3</v>
      </c>
      <c r="D320">
        <v>1.4</v>
      </c>
      <c r="E320" t="s">
        <v>82</v>
      </c>
      <c r="F320" t="s">
        <v>25</v>
      </c>
      <c r="G320" t="s">
        <v>20</v>
      </c>
      <c r="H320" t="s">
        <v>26</v>
      </c>
      <c r="I320" t="s">
        <v>19</v>
      </c>
      <c r="J320" t="s">
        <v>18</v>
      </c>
    </row>
    <row r="321" spans="1:10">
      <c r="A321" t="s">
        <v>79</v>
      </c>
      <c r="B321">
        <f t="shared" si="22"/>
        <v>6.0168471720818288E-2</v>
      </c>
      <c r="C321">
        <f t="shared" si="23"/>
        <v>3.760529482551143E-3</v>
      </c>
      <c r="D321">
        <v>1.3</v>
      </c>
      <c r="E321" t="s">
        <v>82</v>
      </c>
      <c r="F321" t="s">
        <v>25</v>
      </c>
      <c r="G321" t="s">
        <v>19</v>
      </c>
      <c r="H321" t="s">
        <v>24</v>
      </c>
      <c r="I321" t="s">
        <v>26</v>
      </c>
      <c r="J321" t="s">
        <v>20</v>
      </c>
    </row>
    <row r="322" spans="1:10">
      <c r="A322" t="s">
        <v>79</v>
      </c>
      <c r="B322">
        <f t="shared" si="22"/>
        <v>6.0168471720818288E-2</v>
      </c>
      <c r="C322">
        <f t="shared" si="23"/>
        <v>3.760529482551143E-3</v>
      </c>
      <c r="D322">
        <v>1.2</v>
      </c>
      <c r="E322" t="s">
        <v>82</v>
      </c>
      <c r="F322" t="s">
        <v>23</v>
      </c>
      <c r="G322" t="s">
        <v>20</v>
      </c>
      <c r="H322" t="s">
        <v>17</v>
      </c>
      <c r="I322" t="s">
        <v>21</v>
      </c>
      <c r="J322" t="s">
        <v>19</v>
      </c>
    </row>
    <row r="323" spans="1:10">
      <c r="A323" t="s">
        <v>79</v>
      </c>
      <c r="B323">
        <f t="shared" si="22"/>
        <v>6.0168471720818288E-2</v>
      </c>
      <c r="C323">
        <f t="shared" si="23"/>
        <v>3.760529482551143E-3</v>
      </c>
      <c r="D323">
        <v>1.1000000000000001</v>
      </c>
      <c r="E323" t="s">
        <v>82</v>
      </c>
      <c r="F323" t="s">
        <v>25</v>
      </c>
      <c r="G323" t="s">
        <v>23</v>
      </c>
      <c r="H323" t="s">
        <v>17</v>
      </c>
      <c r="I323" t="s">
        <v>20</v>
      </c>
      <c r="J323" t="s">
        <v>18</v>
      </c>
    </row>
    <row r="324" spans="1:10">
      <c r="A324" t="s">
        <v>79</v>
      </c>
      <c r="B324">
        <f t="shared" si="22"/>
        <v>6.0168471720818288E-2</v>
      </c>
      <c r="C324">
        <f t="shared" si="23"/>
        <v>3.760529482551143E-3</v>
      </c>
      <c r="D324">
        <v>1</v>
      </c>
      <c r="E324" t="s">
        <v>82</v>
      </c>
      <c r="F324" t="s">
        <v>21</v>
      </c>
      <c r="G324" t="s">
        <v>18</v>
      </c>
      <c r="H324" t="s">
        <v>19</v>
      </c>
      <c r="I324" t="s">
        <v>20</v>
      </c>
      <c r="J324" t="s">
        <v>17</v>
      </c>
    </row>
    <row r="325" spans="1:10">
      <c r="A325" t="s">
        <v>79</v>
      </c>
      <c r="B325">
        <f t="shared" si="22"/>
        <v>6.0168471720818288E-2</v>
      </c>
      <c r="C325">
        <f t="shared" si="23"/>
        <v>3.760529482551143E-3</v>
      </c>
      <c r="D325">
        <v>0.90000000000000102</v>
      </c>
      <c r="E325" t="s">
        <v>82</v>
      </c>
      <c r="F325" t="s">
        <v>22</v>
      </c>
      <c r="G325" t="s">
        <v>23</v>
      </c>
      <c r="H325" t="s">
        <v>24</v>
      </c>
      <c r="I325" t="s">
        <v>25</v>
      </c>
      <c r="J325" t="s">
        <v>17</v>
      </c>
    </row>
    <row r="326" spans="1:10">
      <c r="A326" t="s">
        <v>79</v>
      </c>
      <c r="B326">
        <f t="shared" si="22"/>
        <v>6.0168471720818288E-2</v>
      </c>
      <c r="C326">
        <f t="shared" si="23"/>
        <v>3.760529482551143E-3</v>
      </c>
      <c r="D326">
        <v>0.80000000000000104</v>
      </c>
      <c r="E326" t="s">
        <v>82</v>
      </c>
      <c r="F326" t="s">
        <v>25</v>
      </c>
      <c r="G326" t="s">
        <v>19</v>
      </c>
      <c r="H326" t="s">
        <v>17</v>
      </c>
      <c r="I326" t="s">
        <v>21</v>
      </c>
      <c r="J326" t="s">
        <v>26</v>
      </c>
    </row>
    <row r="327" spans="1:10">
      <c r="A327" t="s">
        <v>79</v>
      </c>
      <c r="B327">
        <f t="shared" si="22"/>
        <v>6.0168471720818288E-2</v>
      </c>
      <c r="C327">
        <f t="shared" si="23"/>
        <v>3.760529482551143E-3</v>
      </c>
      <c r="D327">
        <v>0.70000000000000095</v>
      </c>
      <c r="E327" t="s">
        <v>82</v>
      </c>
      <c r="F327" t="s">
        <v>18</v>
      </c>
      <c r="G327" t="s">
        <v>25</v>
      </c>
      <c r="H327" t="s">
        <v>24</v>
      </c>
      <c r="I327" t="s">
        <v>23</v>
      </c>
      <c r="J327" t="s">
        <v>20</v>
      </c>
    </row>
    <row r="328" spans="1:10">
      <c r="A328" t="s">
        <v>79</v>
      </c>
      <c r="B328">
        <f t="shared" si="22"/>
        <v>6.0168471720818288E-2</v>
      </c>
      <c r="C328">
        <f t="shared" si="23"/>
        <v>3.760529482551143E-3</v>
      </c>
      <c r="D328">
        <v>0.6</v>
      </c>
      <c r="E328" t="s">
        <v>82</v>
      </c>
      <c r="F328" t="s">
        <v>19</v>
      </c>
      <c r="G328" t="s">
        <v>17</v>
      </c>
      <c r="H328" t="s">
        <v>21</v>
      </c>
      <c r="I328" t="s">
        <v>26</v>
      </c>
      <c r="J328" t="s">
        <v>25</v>
      </c>
    </row>
    <row r="329" spans="1:10">
      <c r="A329" t="s">
        <v>79</v>
      </c>
      <c r="B329">
        <f t="shared" si="22"/>
        <v>6.0168471720818288E-2</v>
      </c>
      <c r="C329">
        <f t="shared" si="23"/>
        <v>3.760529482551143E-3</v>
      </c>
      <c r="D329">
        <v>0.5</v>
      </c>
      <c r="E329" t="s">
        <v>82</v>
      </c>
      <c r="F329" t="s">
        <v>24</v>
      </c>
      <c r="G329" t="s">
        <v>19</v>
      </c>
      <c r="H329" t="s">
        <v>25</v>
      </c>
      <c r="I329" t="s">
        <v>23</v>
      </c>
      <c r="J329" t="s">
        <v>17</v>
      </c>
    </row>
    <row r="330" spans="1:10">
      <c r="A330" t="s">
        <v>79</v>
      </c>
      <c r="B330">
        <f t="shared" si="22"/>
        <v>6.0168471720818288E-2</v>
      </c>
      <c r="C330">
        <f t="shared" si="23"/>
        <v>3.760529482551143E-3</v>
      </c>
      <c r="D330">
        <v>0.4</v>
      </c>
      <c r="E330" t="s">
        <v>82</v>
      </c>
      <c r="F330" t="s">
        <v>22</v>
      </c>
      <c r="G330" t="s">
        <v>17</v>
      </c>
      <c r="H330" t="s">
        <v>21</v>
      </c>
      <c r="I330" t="s">
        <v>26</v>
      </c>
      <c r="J330" t="s">
        <v>18</v>
      </c>
    </row>
    <row r="331" spans="1:10">
      <c r="A331" t="s">
        <v>79</v>
      </c>
      <c r="B331">
        <f t="shared" si="22"/>
        <v>6.0168471720818288E-2</v>
      </c>
      <c r="C331">
        <f t="shared" si="23"/>
        <v>3.760529482551143E-3</v>
      </c>
      <c r="D331">
        <v>0.3</v>
      </c>
      <c r="E331" t="s">
        <v>82</v>
      </c>
      <c r="F331" t="s">
        <v>18</v>
      </c>
      <c r="G331" t="s">
        <v>21</v>
      </c>
      <c r="H331" t="s">
        <v>25</v>
      </c>
      <c r="I331" t="s">
        <v>20</v>
      </c>
      <c r="J331" t="s">
        <v>26</v>
      </c>
    </row>
    <row r="332" spans="1:10">
      <c r="A332" t="s">
        <v>79</v>
      </c>
      <c r="B332">
        <f t="shared" si="22"/>
        <v>6.0168471720818288E-2</v>
      </c>
      <c r="C332">
        <f t="shared" si="23"/>
        <v>3.760529482551143E-3</v>
      </c>
      <c r="D332">
        <v>0.2</v>
      </c>
      <c r="E332" t="s">
        <v>82</v>
      </c>
      <c r="F332" t="s">
        <v>25</v>
      </c>
      <c r="G332" t="s">
        <v>18</v>
      </c>
      <c r="H332" t="s">
        <v>20</v>
      </c>
      <c r="I332" t="s">
        <v>26</v>
      </c>
      <c r="J332" t="s">
        <v>17</v>
      </c>
    </row>
    <row r="333" spans="1:10">
      <c r="A333" t="s">
        <v>79</v>
      </c>
      <c r="B333">
        <f t="shared" si="22"/>
        <v>6.0168471720818288E-2</v>
      </c>
      <c r="C333">
        <f t="shared" si="23"/>
        <v>3.760529482551143E-3</v>
      </c>
      <c r="D333">
        <v>9.9999999999999895E-2</v>
      </c>
      <c r="E333" t="s">
        <v>82</v>
      </c>
      <c r="F333" t="s">
        <v>23</v>
      </c>
      <c r="G333" t="s">
        <v>25</v>
      </c>
      <c r="H333" t="s">
        <v>20</v>
      </c>
      <c r="I333" t="s">
        <v>26</v>
      </c>
      <c r="J333" t="s">
        <v>24</v>
      </c>
    </row>
    <row r="334" spans="1:10">
      <c r="A334" t="s">
        <v>79</v>
      </c>
      <c r="B334">
        <f t="shared" si="22"/>
        <v>6.0168471720818288E-2</v>
      </c>
      <c r="C334">
        <f t="shared" si="23"/>
        <v>3.760529482551143E-3</v>
      </c>
      <c r="D334">
        <v>0</v>
      </c>
      <c r="E334" t="s">
        <v>82</v>
      </c>
      <c r="F334" t="s">
        <v>19</v>
      </c>
      <c r="G334" t="s">
        <v>20</v>
      </c>
      <c r="H334" t="s">
        <v>21</v>
      </c>
      <c r="I334" t="s">
        <v>26</v>
      </c>
      <c r="J334" t="s">
        <v>24</v>
      </c>
    </row>
    <row r="335" spans="1:10">
      <c r="A335" t="s">
        <v>79</v>
      </c>
      <c r="B335">
        <f t="shared" si="22"/>
        <v>6.0168471720818288E-2</v>
      </c>
      <c r="C335">
        <f t="shared" si="23"/>
        <v>3.760529482551143E-3</v>
      </c>
      <c r="D335">
        <v>-0.1</v>
      </c>
      <c r="E335" t="s">
        <v>82</v>
      </c>
      <c r="F335" t="s">
        <v>26</v>
      </c>
      <c r="G335" t="s">
        <v>20</v>
      </c>
      <c r="H335" t="s">
        <v>25</v>
      </c>
      <c r="I335" t="s">
        <v>19</v>
      </c>
      <c r="J335" t="s">
        <v>17</v>
      </c>
    </row>
    <row r="336" spans="1:10">
      <c r="A336" t="s">
        <v>79</v>
      </c>
      <c r="B336">
        <f t="shared" si="22"/>
        <v>6.0168471720818288E-2</v>
      </c>
      <c r="C336">
        <f t="shared" si="23"/>
        <v>3.760529482551143E-3</v>
      </c>
      <c r="D336">
        <v>-0.2</v>
      </c>
      <c r="E336" t="s">
        <v>82</v>
      </c>
      <c r="F336" t="s">
        <v>24</v>
      </c>
      <c r="G336" t="s">
        <v>22</v>
      </c>
      <c r="H336" t="s">
        <v>17</v>
      </c>
      <c r="I336" t="s">
        <v>20</v>
      </c>
      <c r="J336" t="s">
        <v>23</v>
      </c>
    </row>
    <row r="337" spans="1:10">
      <c r="A337" t="s">
        <v>79</v>
      </c>
      <c r="B337">
        <f t="shared" si="22"/>
        <v>6.0168471720818288E-2</v>
      </c>
      <c r="C337">
        <f t="shared" si="23"/>
        <v>3.760529482551143E-3</v>
      </c>
      <c r="D337">
        <v>-0.3</v>
      </c>
      <c r="E337" t="s">
        <v>82</v>
      </c>
      <c r="F337" t="s">
        <v>25</v>
      </c>
      <c r="G337" t="s">
        <v>17</v>
      </c>
      <c r="H337" t="s">
        <v>24</v>
      </c>
      <c r="I337" t="s">
        <v>20</v>
      </c>
      <c r="J337" t="s">
        <v>23</v>
      </c>
    </row>
    <row r="1048262" spans="3:3">
      <c r="C1048262" s="1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085B-5AA4-7D4B-9551-0ED84453ED90}">
  <dimension ref="A1:O1048262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63</v>
      </c>
      <c r="B2">
        <v>1</v>
      </c>
      <c r="C2">
        <v>1</v>
      </c>
      <c r="D2">
        <v>1.7</v>
      </c>
      <c r="E2" t="s">
        <v>83</v>
      </c>
      <c r="F2" s="2" t="s">
        <v>23</v>
      </c>
      <c r="G2" t="s">
        <v>18</v>
      </c>
      <c r="H2" t="s">
        <v>17</v>
      </c>
      <c r="I2" t="s">
        <v>24</v>
      </c>
      <c r="J2" t="s">
        <v>19</v>
      </c>
      <c r="K2" s="2" t="s">
        <v>23</v>
      </c>
      <c r="L2" t="s">
        <v>18</v>
      </c>
      <c r="M2" t="s">
        <v>17</v>
      </c>
      <c r="N2" t="s">
        <v>24</v>
      </c>
      <c r="O2" t="s">
        <v>19</v>
      </c>
    </row>
    <row r="3" spans="1:15">
      <c r="A3" t="s">
        <v>63</v>
      </c>
      <c r="B3">
        <v>1</v>
      </c>
      <c r="C3">
        <v>1</v>
      </c>
      <c r="D3">
        <v>1.6</v>
      </c>
      <c r="E3" t="s">
        <v>83</v>
      </c>
      <c r="F3" s="2" t="s">
        <v>17</v>
      </c>
      <c r="G3" t="s">
        <v>26</v>
      </c>
      <c r="H3" t="s">
        <v>21</v>
      </c>
      <c r="I3" t="s">
        <v>25</v>
      </c>
      <c r="J3" t="s">
        <v>22</v>
      </c>
      <c r="K3" s="2" t="s">
        <v>17</v>
      </c>
      <c r="L3" t="s">
        <v>26</v>
      </c>
      <c r="M3" t="s">
        <v>21</v>
      </c>
      <c r="N3" t="s">
        <v>25</v>
      </c>
      <c r="O3" t="s">
        <v>22</v>
      </c>
    </row>
    <row r="4" spans="1:15">
      <c r="A4" t="s">
        <v>63</v>
      </c>
      <c r="B4">
        <v>1</v>
      </c>
      <c r="C4">
        <v>1</v>
      </c>
      <c r="D4">
        <v>1.5</v>
      </c>
      <c r="E4" t="s">
        <v>83</v>
      </c>
      <c r="F4" s="2" t="s">
        <v>19</v>
      </c>
      <c r="G4" t="s">
        <v>21</v>
      </c>
      <c r="H4" t="s">
        <v>22</v>
      </c>
      <c r="I4" t="s">
        <v>18</v>
      </c>
      <c r="J4" t="s">
        <v>25</v>
      </c>
      <c r="K4" s="2" t="s">
        <v>19</v>
      </c>
      <c r="L4" t="s">
        <v>21</v>
      </c>
      <c r="M4" t="s">
        <v>22</v>
      </c>
      <c r="N4" t="s">
        <v>18</v>
      </c>
      <c r="O4" t="s">
        <v>25</v>
      </c>
    </row>
    <row r="5" spans="1:15">
      <c r="A5" t="s">
        <v>63</v>
      </c>
      <c r="B5">
        <v>1</v>
      </c>
      <c r="C5">
        <v>1</v>
      </c>
      <c r="D5">
        <v>1.4</v>
      </c>
      <c r="E5" t="s">
        <v>83</v>
      </c>
      <c r="F5" s="2" t="s">
        <v>23</v>
      </c>
      <c r="G5" t="s">
        <v>22</v>
      </c>
      <c r="H5" t="s">
        <v>24</v>
      </c>
      <c r="I5" t="s">
        <v>17</v>
      </c>
      <c r="J5" t="s">
        <v>18</v>
      </c>
      <c r="K5" s="2" t="s">
        <v>23</v>
      </c>
      <c r="L5" t="s">
        <v>22</v>
      </c>
      <c r="M5" t="s">
        <v>24</v>
      </c>
      <c r="N5" t="s">
        <v>17</v>
      </c>
      <c r="O5" t="s">
        <v>18</v>
      </c>
    </row>
    <row r="6" spans="1:15">
      <c r="A6" t="s">
        <v>63</v>
      </c>
      <c r="B6">
        <v>1</v>
      </c>
      <c r="C6">
        <v>1</v>
      </c>
      <c r="D6">
        <v>1.3</v>
      </c>
      <c r="E6" t="s">
        <v>83</v>
      </c>
      <c r="F6" s="2" t="s">
        <v>24</v>
      </c>
      <c r="G6" t="s">
        <v>23</v>
      </c>
      <c r="H6" t="s">
        <v>20</v>
      </c>
      <c r="I6" t="s">
        <v>19</v>
      </c>
      <c r="J6" t="s">
        <v>18</v>
      </c>
      <c r="K6" s="2" t="s">
        <v>24</v>
      </c>
      <c r="L6" t="s">
        <v>23</v>
      </c>
      <c r="M6" t="s">
        <v>20</v>
      </c>
      <c r="N6" t="s">
        <v>19</v>
      </c>
      <c r="O6" t="s">
        <v>18</v>
      </c>
    </row>
    <row r="7" spans="1:15">
      <c r="A7" t="s">
        <v>63</v>
      </c>
      <c r="B7">
        <v>1</v>
      </c>
      <c r="C7">
        <v>1</v>
      </c>
      <c r="D7">
        <v>1.2</v>
      </c>
      <c r="E7" t="s">
        <v>83</v>
      </c>
      <c r="F7" s="2" t="s">
        <v>20</v>
      </c>
      <c r="G7" t="s">
        <v>26</v>
      </c>
      <c r="H7" t="s">
        <v>25</v>
      </c>
      <c r="I7" t="s">
        <v>17</v>
      </c>
      <c r="J7" t="s">
        <v>19</v>
      </c>
      <c r="K7" s="2" t="s">
        <v>20</v>
      </c>
      <c r="L7" t="s">
        <v>26</v>
      </c>
      <c r="M7" t="s">
        <v>25</v>
      </c>
      <c r="N7" t="s">
        <v>17</v>
      </c>
      <c r="O7" t="s">
        <v>19</v>
      </c>
    </row>
    <row r="8" spans="1:15">
      <c r="A8" t="s">
        <v>63</v>
      </c>
      <c r="B8">
        <v>1</v>
      </c>
      <c r="C8">
        <v>1</v>
      </c>
      <c r="D8">
        <v>1.1000000000000001</v>
      </c>
      <c r="E8" t="s">
        <v>83</v>
      </c>
      <c r="F8" s="2" t="s">
        <v>23</v>
      </c>
      <c r="G8" t="s">
        <v>22</v>
      </c>
      <c r="H8" t="s">
        <v>17</v>
      </c>
      <c r="I8" t="s">
        <v>19</v>
      </c>
      <c r="J8" t="s">
        <v>26</v>
      </c>
      <c r="K8" s="2" t="s">
        <v>23</v>
      </c>
      <c r="L8" t="s">
        <v>22</v>
      </c>
      <c r="M8" t="s">
        <v>17</v>
      </c>
      <c r="N8" t="s">
        <v>19</v>
      </c>
      <c r="O8" t="s">
        <v>26</v>
      </c>
    </row>
    <row r="9" spans="1:15">
      <c r="A9" t="s">
        <v>63</v>
      </c>
      <c r="B9">
        <v>1</v>
      </c>
      <c r="C9">
        <v>1</v>
      </c>
      <c r="D9">
        <v>1</v>
      </c>
      <c r="E9" t="s">
        <v>83</v>
      </c>
      <c r="F9" s="2" t="s">
        <v>18</v>
      </c>
      <c r="G9" t="s">
        <v>24</v>
      </c>
      <c r="H9" t="s">
        <v>25</v>
      </c>
      <c r="I9" t="s">
        <v>21</v>
      </c>
      <c r="J9" t="s">
        <v>23</v>
      </c>
      <c r="K9" s="2" t="s">
        <v>18</v>
      </c>
      <c r="L9" t="s">
        <v>24</v>
      </c>
      <c r="M9" t="s">
        <v>25</v>
      </c>
      <c r="N9" t="s">
        <v>21</v>
      </c>
      <c r="O9" t="s">
        <v>23</v>
      </c>
    </row>
    <row r="10" spans="1:15">
      <c r="A10" t="s">
        <v>63</v>
      </c>
      <c r="B10">
        <v>1</v>
      </c>
      <c r="C10">
        <v>1</v>
      </c>
      <c r="D10">
        <v>0.90000000000000102</v>
      </c>
      <c r="E10" t="s">
        <v>83</v>
      </c>
      <c r="F10" s="2" t="s">
        <v>17</v>
      </c>
      <c r="G10" t="s">
        <v>19</v>
      </c>
      <c r="H10" t="s">
        <v>26</v>
      </c>
      <c r="I10" t="s">
        <v>24</v>
      </c>
      <c r="J10" t="s">
        <v>25</v>
      </c>
      <c r="K10" s="2" t="s">
        <v>17</v>
      </c>
      <c r="L10" t="s">
        <v>19</v>
      </c>
      <c r="M10" t="s">
        <v>26</v>
      </c>
      <c r="N10" t="s">
        <v>24</v>
      </c>
      <c r="O10" t="s">
        <v>25</v>
      </c>
    </row>
    <row r="11" spans="1:15">
      <c r="A11" t="s">
        <v>63</v>
      </c>
      <c r="B11">
        <v>1</v>
      </c>
      <c r="C11">
        <v>1</v>
      </c>
      <c r="D11">
        <v>0.80000000000000104</v>
      </c>
      <c r="E11" t="s">
        <v>83</v>
      </c>
      <c r="F11" s="2" t="s">
        <v>18</v>
      </c>
      <c r="G11" t="s">
        <v>17</v>
      </c>
      <c r="H11" t="s">
        <v>26</v>
      </c>
      <c r="I11" t="s">
        <v>22</v>
      </c>
      <c r="J11" t="s">
        <v>19</v>
      </c>
      <c r="K11" s="2" t="s">
        <v>18</v>
      </c>
      <c r="L11" t="s">
        <v>17</v>
      </c>
      <c r="M11" t="s">
        <v>26</v>
      </c>
      <c r="N11" t="s">
        <v>22</v>
      </c>
      <c r="O11" t="s">
        <v>19</v>
      </c>
    </row>
    <row r="12" spans="1:15">
      <c r="A12" t="s">
        <v>63</v>
      </c>
      <c r="B12">
        <v>1</v>
      </c>
      <c r="C12">
        <v>1</v>
      </c>
      <c r="D12">
        <v>0.70000000000000095</v>
      </c>
      <c r="E12" t="s">
        <v>83</v>
      </c>
      <c r="F12" s="2" t="s">
        <v>17</v>
      </c>
      <c r="G12" t="s">
        <v>26</v>
      </c>
      <c r="H12" t="s">
        <v>24</v>
      </c>
      <c r="I12" t="s">
        <v>18</v>
      </c>
      <c r="J12" t="s">
        <v>23</v>
      </c>
      <c r="K12" s="2" t="s">
        <v>17</v>
      </c>
      <c r="L12" t="s">
        <v>26</v>
      </c>
      <c r="M12" t="s">
        <v>24</v>
      </c>
      <c r="N12" t="s">
        <v>18</v>
      </c>
      <c r="O12" t="s">
        <v>23</v>
      </c>
    </row>
    <row r="13" spans="1:15">
      <c r="A13" t="s">
        <v>63</v>
      </c>
      <c r="B13">
        <v>1</v>
      </c>
      <c r="C13">
        <v>1</v>
      </c>
      <c r="D13">
        <v>0.6</v>
      </c>
      <c r="E13" t="s">
        <v>83</v>
      </c>
      <c r="F13" s="2" t="s">
        <v>21</v>
      </c>
      <c r="G13" t="s">
        <v>26</v>
      </c>
      <c r="H13" t="s">
        <v>18</v>
      </c>
      <c r="I13" t="s">
        <v>19</v>
      </c>
      <c r="J13" t="s">
        <v>24</v>
      </c>
      <c r="K13" s="2" t="s">
        <v>21</v>
      </c>
      <c r="L13" t="s">
        <v>26</v>
      </c>
      <c r="M13" t="s">
        <v>18</v>
      </c>
      <c r="N13" t="s">
        <v>19</v>
      </c>
      <c r="O13" t="s">
        <v>24</v>
      </c>
    </row>
    <row r="14" spans="1:15">
      <c r="A14" t="s">
        <v>63</v>
      </c>
      <c r="B14">
        <v>1</v>
      </c>
      <c r="C14">
        <v>1</v>
      </c>
      <c r="D14">
        <v>0.5</v>
      </c>
      <c r="E14" t="s">
        <v>83</v>
      </c>
      <c r="F14" s="2" t="s">
        <v>17</v>
      </c>
      <c r="G14" t="s">
        <v>18</v>
      </c>
      <c r="H14" t="s">
        <v>25</v>
      </c>
      <c r="I14" t="s">
        <v>22</v>
      </c>
      <c r="J14" t="s">
        <v>19</v>
      </c>
      <c r="K14" s="2" t="s">
        <v>17</v>
      </c>
      <c r="L14" t="s">
        <v>18</v>
      </c>
      <c r="M14" t="s">
        <v>25</v>
      </c>
      <c r="N14" t="s">
        <v>22</v>
      </c>
      <c r="O14" t="s">
        <v>19</v>
      </c>
    </row>
    <row r="15" spans="1:15">
      <c r="A15" t="s">
        <v>63</v>
      </c>
      <c r="B15">
        <v>1</v>
      </c>
      <c r="C15">
        <v>1</v>
      </c>
      <c r="D15">
        <v>0.4</v>
      </c>
      <c r="E15" t="s">
        <v>83</v>
      </c>
      <c r="F15" s="2" t="s">
        <v>20</v>
      </c>
      <c r="G15" t="s">
        <v>18</v>
      </c>
      <c r="H15" t="s">
        <v>26</v>
      </c>
      <c r="I15" t="s">
        <v>22</v>
      </c>
      <c r="J15" t="s">
        <v>21</v>
      </c>
      <c r="K15" s="2" t="s">
        <v>20</v>
      </c>
      <c r="L15" t="s">
        <v>18</v>
      </c>
      <c r="M15" t="s">
        <v>26</v>
      </c>
      <c r="N15" t="s">
        <v>22</v>
      </c>
      <c r="O15" t="s">
        <v>21</v>
      </c>
    </row>
    <row r="16" spans="1:15">
      <c r="A16" t="s">
        <v>63</v>
      </c>
      <c r="B16">
        <v>1</v>
      </c>
      <c r="C16">
        <v>1</v>
      </c>
      <c r="D16">
        <v>0.3</v>
      </c>
      <c r="E16" t="s">
        <v>83</v>
      </c>
      <c r="F16" s="2" t="s">
        <v>21</v>
      </c>
      <c r="G16" t="s">
        <v>23</v>
      </c>
      <c r="H16" t="s">
        <v>25</v>
      </c>
      <c r="I16" t="s">
        <v>20</v>
      </c>
      <c r="J16" t="s">
        <v>19</v>
      </c>
      <c r="K16" s="2" t="s">
        <v>21</v>
      </c>
      <c r="L16" t="s">
        <v>23</v>
      </c>
      <c r="M16" t="s">
        <v>25</v>
      </c>
      <c r="N16" t="s">
        <v>20</v>
      </c>
      <c r="O16" t="s">
        <v>19</v>
      </c>
    </row>
    <row r="17" spans="1:15">
      <c r="A17" t="s">
        <v>63</v>
      </c>
      <c r="B17">
        <v>1</v>
      </c>
      <c r="C17">
        <v>1</v>
      </c>
      <c r="D17">
        <v>0.2</v>
      </c>
      <c r="E17" t="s">
        <v>83</v>
      </c>
      <c r="F17" s="2" t="s">
        <v>25</v>
      </c>
      <c r="G17" t="s">
        <v>19</v>
      </c>
      <c r="H17" t="s">
        <v>23</v>
      </c>
      <c r="I17" t="s">
        <v>21</v>
      </c>
      <c r="J17" t="s">
        <v>20</v>
      </c>
      <c r="K17" s="2" t="s">
        <v>25</v>
      </c>
      <c r="L17" t="s">
        <v>19</v>
      </c>
      <c r="M17" t="s">
        <v>23</v>
      </c>
      <c r="N17" t="s">
        <v>21</v>
      </c>
      <c r="O17" t="s">
        <v>20</v>
      </c>
    </row>
    <row r="18" spans="1:15">
      <c r="A18" t="s">
        <v>63</v>
      </c>
      <c r="B18">
        <v>1</v>
      </c>
      <c r="C18">
        <v>1</v>
      </c>
      <c r="D18">
        <v>9.9999999999999895E-2</v>
      </c>
      <c r="E18" t="s">
        <v>83</v>
      </c>
      <c r="F18" s="2" t="s">
        <v>18</v>
      </c>
      <c r="G18" t="s">
        <v>23</v>
      </c>
      <c r="H18" t="s">
        <v>19</v>
      </c>
      <c r="I18" t="s">
        <v>22</v>
      </c>
      <c r="J18" t="s">
        <v>17</v>
      </c>
      <c r="K18" s="2" t="s">
        <v>18</v>
      </c>
      <c r="L18" t="s">
        <v>23</v>
      </c>
      <c r="M18" t="s">
        <v>19</v>
      </c>
      <c r="N18" t="s">
        <v>22</v>
      </c>
      <c r="O18" t="s">
        <v>17</v>
      </c>
    </row>
    <row r="19" spans="1:15">
      <c r="A19" t="s">
        <v>63</v>
      </c>
      <c r="B19">
        <v>1</v>
      </c>
      <c r="C19">
        <v>1</v>
      </c>
      <c r="D19">
        <v>0</v>
      </c>
      <c r="E19" t="s">
        <v>83</v>
      </c>
      <c r="F19" s="2" t="s">
        <v>22</v>
      </c>
      <c r="G19" t="s">
        <v>26</v>
      </c>
      <c r="H19" t="s">
        <v>24</v>
      </c>
      <c r="I19" t="s">
        <v>25</v>
      </c>
      <c r="J19" t="s">
        <v>23</v>
      </c>
      <c r="K19" s="2" t="s">
        <v>22</v>
      </c>
    </row>
    <row r="20" spans="1:15">
      <c r="A20" t="s">
        <v>63</v>
      </c>
      <c r="B20">
        <v>1</v>
      </c>
      <c r="C20">
        <v>1</v>
      </c>
      <c r="D20">
        <v>-0.1</v>
      </c>
      <c r="E20" t="s">
        <v>83</v>
      </c>
      <c r="F20" s="2" t="s">
        <v>17</v>
      </c>
      <c r="G20" t="s">
        <v>26</v>
      </c>
      <c r="H20" t="s">
        <v>22</v>
      </c>
      <c r="I20" t="s">
        <v>20</v>
      </c>
      <c r="J20" t="s">
        <v>23</v>
      </c>
      <c r="K20" s="2"/>
    </row>
    <row r="21" spans="1:15">
      <c r="A21" t="s">
        <v>63</v>
      </c>
      <c r="B21">
        <v>1</v>
      </c>
      <c r="C21">
        <v>1</v>
      </c>
      <c r="D21">
        <v>-0.2</v>
      </c>
      <c r="E21" t="s">
        <v>83</v>
      </c>
      <c r="F21" s="2" t="s">
        <v>18</v>
      </c>
      <c r="G21" t="s">
        <v>22</v>
      </c>
      <c r="H21" t="s">
        <v>19</v>
      </c>
      <c r="I21" t="s">
        <v>26</v>
      </c>
      <c r="J21" t="s">
        <v>17</v>
      </c>
      <c r="K21" s="2"/>
    </row>
    <row r="22" spans="1:15">
      <c r="A22" t="s">
        <v>63</v>
      </c>
      <c r="B22">
        <v>1</v>
      </c>
      <c r="C22">
        <v>1</v>
      </c>
      <c r="D22">
        <v>-0.3</v>
      </c>
      <c r="E22" t="s">
        <v>83</v>
      </c>
      <c r="F22" s="2" t="s">
        <v>26</v>
      </c>
      <c r="G22" t="s">
        <v>19</v>
      </c>
      <c r="H22" t="s">
        <v>21</v>
      </c>
      <c r="I22" t="s">
        <v>25</v>
      </c>
      <c r="J22" t="s">
        <v>22</v>
      </c>
    </row>
    <row r="23" spans="1:15">
      <c r="A23" t="s">
        <v>65</v>
      </c>
      <c r="B23">
        <f>1/3.48</f>
        <v>0.28735632183908044</v>
      </c>
      <c r="C23">
        <f>1/3.48</f>
        <v>0.28735632183908044</v>
      </c>
      <c r="D23">
        <v>1.7</v>
      </c>
      <c r="E23" t="s">
        <v>83</v>
      </c>
      <c r="F23" s="2" t="s">
        <v>26</v>
      </c>
      <c r="G23" t="s">
        <v>18</v>
      </c>
      <c r="H23" t="s">
        <v>20</v>
      </c>
      <c r="I23" t="s">
        <v>22</v>
      </c>
      <c r="J23" t="s">
        <v>19</v>
      </c>
      <c r="K23" s="2" t="s">
        <v>26</v>
      </c>
      <c r="L23" t="s">
        <v>18</v>
      </c>
      <c r="M23" t="s">
        <v>20</v>
      </c>
      <c r="N23" t="s">
        <v>22</v>
      </c>
      <c r="O23" t="s">
        <v>19</v>
      </c>
    </row>
    <row r="24" spans="1:15">
      <c r="A24" t="s">
        <v>65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83</v>
      </c>
      <c r="F24" s="2" t="s">
        <v>19</v>
      </c>
      <c r="G24" t="s">
        <v>24</v>
      </c>
      <c r="H24" t="s">
        <v>26</v>
      </c>
      <c r="I24" t="s">
        <v>23</v>
      </c>
      <c r="J24" t="s">
        <v>17</v>
      </c>
      <c r="K24" s="2" t="s">
        <v>19</v>
      </c>
      <c r="L24" t="s">
        <v>24</v>
      </c>
      <c r="M24" t="s">
        <v>26</v>
      </c>
      <c r="N24" t="s">
        <v>23</v>
      </c>
      <c r="O24" t="s">
        <v>17</v>
      </c>
    </row>
    <row r="25" spans="1:15">
      <c r="A25" t="s">
        <v>65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83</v>
      </c>
      <c r="F25" s="2" t="s">
        <v>17</v>
      </c>
      <c r="G25" t="s">
        <v>19</v>
      </c>
      <c r="H25" t="s">
        <v>23</v>
      </c>
      <c r="I25" t="s">
        <v>24</v>
      </c>
      <c r="J25" t="s">
        <v>21</v>
      </c>
      <c r="K25" s="2" t="s">
        <v>17</v>
      </c>
      <c r="L25" t="s">
        <v>19</v>
      </c>
      <c r="M25" t="s">
        <v>23</v>
      </c>
      <c r="N25" t="s">
        <v>24</v>
      </c>
      <c r="O25" t="s">
        <v>21</v>
      </c>
    </row>
    <row r="26" spans="1:15">
      <c r="A26" t="s">
        <v>65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83</v>
      </c>
      <c r="F26" s="2" t="s">
        <v>20</v>
      </c>
      <c r="G26" t="s">
        <v>17</v>
      </c>
      <c r="H26" t="s">
        <v>19</v>
      </c>
      <c r="I26" t="s">
        <v>26</v>
      </c>
      <c r="J26" t="s">
        <v>21</v>
      </c>
      <c r="K26" s="2" t="s">
        <v>20</v>
      </c>
      <c r="L26" t="s">
        <v>17</v>
      </c>
      <c r="M26" t="s">
        <v>19</v>
      </c>
      <c r="N26" t="s">
        <v>26</v>
      </c>
      <c r="O26" t="s">
        <v>21</v>
      </c>
    </row>
    <row r="27" spans="1:15">
      <c r="A27" t="s">
        <v>65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83</v>
      </c>
      <c r="F27" s="2" t="s">
        <v>18</v>
      </c>
      <c r="G27" t="s">
        <v>23</v>
      </c>
      <c r="H27" t="s">
        <v>20</v>
      </c>
      <c r="I27" t="s">
        <v>26</v>
      </c>
      <c r="J27" t="s">
        <v>22</v>
      </c>
      <c r="K27" s="2" t="s">
        <v>18</v>
      </c>
      <c r="L27" t="s">
        <v>23</v>
      </c>
      <c r="M27" t="s">
        <v>20</v>
      </c>
      <c r="N27" t="s">
        <v>26</v>
      </c>
      <c r="O27" t="s">
        <v>22</v>
      </c>
    </row>
    <row r="28" spans="1:15">
      <c r="A28" t="s">
        <v>65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83</v>
      </c>
      <c r="F28" s="2" t="s">
        <v>26</v>
      </c>
      <c r="G28" t="s">
        <v>19</v>
      </c>
      <c r="H28" t="s">
        <v>24</v>
      </c>
      <c r="I28" t="s">
        <v>23</v>
      </c>
      <c r="J28" t="s">
        <v>17</v>
      </c>
      <c r="K28" s="2" t="s">
        <v>26</v>
      </c>
      <c r="L28" t="s">
        <v>19</v>
      </c>
      <c r="M28" t="s">
        <v>24</v>
      </c>
      <c r="N28" t="s">
        <v>23</v>
      </c>
      <c r="O28" t="s">
        <v>17</v>
      </c>
    </row>
    <row r="29" spans="1:15">
      <c r="A29" t="s">
        <v>65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83</v>
      </c>
      <c r="F29" s="2" t="s">
        <v>18</v>
      </c>
      <c r="G29" t="s">
        <v>26</v>
      </c>
      <c r="H29" t="s">
        <v>19</v>
      </c>
      <c r="I29" t="s">
        <v>25</v>
      </c>
      <c r="J29" t="s">
        <v>20</v>
      </c>
      <c r="K29" s="2" t="s">
        <v>18</v>
      </c>
      <c r="L29" t="s">
        <v>26</v>
      </c>
      <c r="M29" t="s">
        <v>19</v>
      </c>
      <c r="N29" t="s">
        <v>25</v>
      </c>
      <c r="O29" t="s">
        <v>20</v>
      </c>
    </row>
    <row r="30" spans="1:15">
      <c r="A30" t="s">
        <v>65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83</v>
      </c>
      <c r="F30" s="2" t="s">
        <v>24</v>
      </c>
      <c r="G30" t="s">
        <v>18</v>
      </c>
      <c r="H30" t="s">
        <v>25</v>
      </c>
      <c r="I30" t="s">
        <v>23</v>
      </c>
      <c r="J30" t="s">
        <v>17</v>
      </c>
      <c r="K30" s="2" t="s">
        <v>24</v>
      </c>
      <c r="L30" t="s">
        <v>18</v>
      </c>
      <c r="M30" t="s">
        <v>25</v>
      </c>
      <c r="N30" t="s">
        <v>23</v>
      </c>
      <c r="O30" t="s">
        <v>17</v>
      </c>
    </row>
    <row r="31" spans="1:15">
      <c r="A31" t="s">
        <v>65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83</v>
      </c>
      <c r="F31" s="2" t="s">
        <v>20</v>
      </c>
      <c r="G31" t="s">
        <v>19</v>
      </c>
      <c r="H31" t="s">
        <v>24</v>
      </c>
      <c r="I31" t="s">
        <v>23</v>
      </c>
      <c r="J31" t="s">
        <v>22</v>
      </c>
      <c r="K31" s="2" t="s">
        <v>20</v>
      </c>
      <c r="L31" t="s">
        <v>19</v>
      </c>
      <c r="M31" t="s">
        <v>24</v>
      </c>
      <c r="N31" t="s">
        <v>23</v>
      </c>
      <c r="O31" t="s">
        <v>22</v>
      </c>
    </row>
    <row r="32" spans="1:15">
      <c r="A32" t="s">
        <v>65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83</v>
      </c>
      <c r="F32" s="2" t="s">
        <v>26</v>
      </c>
      <c r="G32" t="s">
        <v>23</v>
      </c>
      <c r="H32" t="s">
        <v>17</v>
      </c>
      <c r="I32" t="s">
        <v>20</v>
      </c>
      <c r="J32" t="s">
        <v>24</v>
      </c>
      <c r="K32" s="2" t="s">
        <v>26</v>
      </c>
      <c r="L32" t="s">
        <v>23</v>
      </c>
      <c r="M32" t="s">
        <v>17</v>
      </c>
      <c r="N32" t="s">
        <v>20</v>
      </c>
      <c r="O32" t="s">
        <v>24</v>
      </c>
    </row>
    <row r="33" spans="1:15">
      <c r="A33" t="s">
        <v>65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83</v>
      </c>
      <c r="F33" s="2" t="s">
        <v>26</v>
      </c>
      <c r="G33" t="s">
        <v>18</v>
      </c>
      <c r="H33" t="s">
        <v>23</v>
      </c>
      <c r="I33" t="s">
        <v>17</v>
      </c>
      <c r="J33" t="s">
        <v>24</v>
      </c>
      <c r="K33" s="2" t="s">
        <v>26</v>
      </c>
      <c r="L33" t="s">
        <v>18</v>
      </c>
      <c r="M33" t="s">
        <v>23</v>
      </c>
      <c r="N33" t="s">
        <v>17</v>
      </c>
      <c r="O33" t="s">
        <v>24</v>
      </c>
    </row>
    <row r="34" spans="1:15">
      <c r="A34" t="s">
        <v>65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83</v>
      </c>
      <c r="F34" s="2" t="s">
        <v>19</v>
      </c>
      <c r="G34" t="s">
        <v>17</v>
      </c>
      <c r="H34" t="s">
        <v>22</v>
      </c>
      <c r="I34" t="s">
        <v>21</v>
      </c>
      <c r="J34" t="s">
        <v>23</v>
      </c>
      <c r="K34" s="2"/>
      <c r="L34" t="s">
        <v>17</v>
      </c>
      <c r="M34" t="s">
        <v>22</v>
      </c>
      <c r="O34" t="s">
        <v>23</v>
      </c>
    </row>
    <row r="35" spans="1:15">
      <c r="A35" t="s">
        <v>65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83</v>
      </c>
      <c r="F35" s="2" t="s">
        <v>21</v>
      </c>
      <c r="G35" t="s">
        <v>24</v>
      </c>
      <c r="H35" t="s">
        <v>19</v>
      </c>
      <c r="I35" t="s">
        <v>23</v>
      </c>
      <c r="J35" t="s">
        <v>20</v>
      </c>
      <c r="K35" s="2"/>
      <c r="L35" t="s">
        <v>24</v>
      </c>
      <c r="M35" t="s">
        <v>19</v>
      </c>
      <c r="N35" t="s">
        <v>23</v>
      </c>
      <c r="O35" t="s">
        <v>20</v>
      </c>
    </row>
    <row r="36" spans="1:15">
      <c r="A36" t="s">
        <v>65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83</v>
      </c>
      <c r="F36" s="2" t="s">
        <v>23</v>
      </c>
      <c r="G36" t="s">
        <v>24</v>
      </c>
      <c r="H36" t="s">
        <v>21</v>
      </c>
      <c r="I36" t="s">
        <v>17</v>
      </c>
      <c r="J36" t="s">
        <v>25</v>
      </c>
      <c r="K36" s="2"/>
      <c r="L36" t="s">
        <v>24</v>
      </c>
    </row>
    <row r="37" spans="1:15">
      <c r="A37" t="s">
        <v>65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83</v>
      </c>
      <c r="F37" s="2" t="s">
        <v>25</v>
      </c>
      <c r="G37" t="s">
        <v>17</v>
      </c>
      <c r="H37" t="s">
        <v>18</v>
      </c>
      <c r="I37" t="s">
        <v>22</v>
      </c>
      <c r="J37" t="s">
        <v>23</v>
      </c>
      <c r="K37" s="2"/>
    </row>
    <row r="38" spans="1:15">
      <c r="A38" t="s">
        <v>65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83</v>
      </c>
      <c r="F38" s="2" t="s">
        <v>26</v>
      </c>
      <c r="G38" t="s">
        <v>18</v>
      </c>
      <c r="H38" t="s">
        <v>25</v>
      </c>
      <c r="I38" t="s">
        <v>23</v>
      </c>
      <c r="J38" t="s">
        <v>17</v>
      </c>
      <c r="K38" s="2"/>
    </row>
    <row r="39" spans="1:15">
      <c r="A39" t="s">
        <v>65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83</v>
      </c>
      <c r="F39" s="2" t="s">
        <v>18</v>
      </c>
      <c r="G39" t="s">
        <v>22</v>
      </c>
      <c r="H39" t="s">
        <v>21</v>
      </c>
      <c r="I39" t="s">
        <v>19</v>
      </c>
      <c r="J39" t="s">
        <v>25</v>
      </c>
      <c r="K39" s="2"/>
    </row>
    <row r="40" spans="1:15">
      <c r="A40" t="s">
        <v>65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83</v>
      </c>
      <c r="F40" s="2" t="s">
        <v>23</v>
      </c>
      <c r="G40" t="s">
        <v>20</v>
      </c>
      <c r="H40" t="s">
        <v>25</v>
      </c>
      <c r="I40" t="s">
        <v>22</v>
      </c>
      <c r="J40" t="s">
        <v>21</v>
      </c>
    </row>
    <row r="41" spans="1:15">
      <c r="A41" t="s">
        <v>65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83</v>
      </c>
      <c r="F41" s="2" t="s">
        <v>17</v>
      </c>
      <c r="G41" t="s">
        <v>20</v>
      </c>
      <c r="H41" t="s">
        <v>19</v>
      </c>
      <c r="I41" t="s">
        <v>22</v>
      </c>
      <c r="J41" t="s">
        <v>23</v>
      </c>
    </row>
    <row r="42" spans="1:15">
      <c r="A42" t="s">
        <v>65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83</v>
      </c>
      <c r="F42" s="2" t="s">
        <v>26</v>
      </c>
      <c r="G42" t="s">
        <v>18</v>
      </c>
      <c r="H42" t="s">
        <v>25</v>
      </c>
      <c r="I42" t="s">
        <v>24</v>
      </c>
      <c r="J42" t="s">
        <v>23</v>
      </c>
    </row>
    <row r="43" spans="1:15">
      <c r="A43" t="s">
        <v>65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83</v>
      </c>
      <c r="F43" s="2" t="s">
        <v>19</v>
      </c>
      <c r="G43" t="s">
        <v>23</v>
      </c>
      <c r="H43" t="s">
        <v>21</v>
      </c>
      <c r="I43" t="s">
        <v>18</v>
      </c>
      <c r="J43" t="s">
        <v>20</v>
      </c>
    </row>
    <row r="44" spans="1:15">
      <c r="A44" t="s">
        <v>66</v>
      </c>
      <c r="B44">
        <f>1/6.4</f>
        <v>0.15625</v>
      </c>
      <c r="C44">
        <f>1/6.4</f>
        <v>0.15625</v>
      </c>
      <c r="D44">
        <v>1.7</v>
      </c>
      <c r="E44" t="s">
        <v>83</v>
      </c>
      <c r="F44" s="2" t="s">
        <v>25</v>
      </c>
      <c r="G44" t="s">
        <v>18</v>
      </c>
      <c r="H44" t="s">
        <v>17</v>
      </c>
      <c r="I44" t="s">
        <v>21</v>
      </c>
      <c r="J44" t="s">
        <v>22</v>
      </c>
      <c r="K44" s="2" t="s">
        <v>25</v>
      </c>
      <c r="L44" t="s">
        <v>18</v>
      </c>
      <c r="M44" t="s">
        <v>17</v>
      </c>
      <c r="N44" t="s">
        <v>21</v>
      </c>
      <c r="O44" t="s">
        <v>22</v>
      </c>
    </row>
    <row r="45" spans="1:15">
      <c r="A45" t="s">
        <v>66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83</v>
      </c>
      <c r="F45" s="2" t="s">
        <v>23</v>
      </c>
      <c r="G45" t="s">
        <v>20</v>
      </c>
      <c r="H45" t="s">
        <v>25</v>
      </c>
      <c r="I45" t="s">
        <v>19</v>
      </c>
      <c r="J45" t="s">
        <v>21</v>
      </c>
      <c r="K45" s="2" t="s">
        <v>23</v>
      </c>
      <c r="L45" t="s">
        <v>20</v>
      </c>
      <c r="M45" t="s">
        <v>25</v>
      </c>
      <c r="N45" t="s">
        <v>19</v>
      </c>
      <c r="O45" t="s">
        <v>21</v>
      </c>
    </row>
    <row r="46" spans="1:15">
      <c r="A46" t="s">
        <v>66</v>
      </c>
      <c r="B46">
        <f t="shared" si="1"/>
        <v>0.15625</v>
      </c>
      <c r="C46">
        <f t="shared" si="1"/>
        <v>0.15625</v>
      </c>
      <c r="D46">
        <v>1.5</v>
      </c>
      <c r="E46" t="s">
        <v>83</v>
      </c>
      <c r="F46" s="2" t="s">
        <v>19</v>
      </c>
      <c r="G46" t="s">
        <v>20</v>
      </c>
      <c r="H46" t="s">
        <v>22</v>
      </c>
      <c r="I46" t="s">
        <v>25</v>
      </c>
      <c r="J46" t="s">
        <v>23</v>
      </c>
      <c r="K46" s="2" t="s">
        <v>19</v>
      </c>
      <c r="L46" t="s">
        <v>20</v>
      </c>
      <c r="M46" t="s">
        <v>22</v>
      </c>
      <c r="N46" t="s">
        <v>25</v>
      </c>
      <c r="O46" t="s">
        <v>23</v>
      </c>
    </row>
    <row r="47" spans="1:15">
      <c r="A47" t="s">
        <v>66</v>
      </c>
      <c r="B47">
        <f t="shared" si="1"/>
        <v>0.15625</v>
      </c>
      <c r="C47">
        <f t="shared" si="1"/>
        <v>0.15625</v>
      </c>
      <c r="D47">
        <v>1.4</v>
      </c>
      <c r="E47" t="s">
        <v>83</v>
      </c>
      <c r="F47" s="2" t="s">
        <v>25</v>
      </c>
      <c r="G47" t="s">
        <v>17</v>
      </c>
      <c r="H47" t="s">
        <v>26</v>
      </c>
      <c r="I47" t="s">
        <v>21</v>
      </c>
      <c r="J47" t="s">
        <v>22</v>
      </c>
      <c r="K47" s="2" t="s">
        <v>25</v>
      </c>
      <c r="L47" t="s">
        <v>17</v>
      </c>
      <c r="M47" t="s">
        <v>26</v>
      </c>
      <c r="N47" t="s">
        <v>21</v>
      </c>
      <c r="O47" t="s">
        <v>22</v>
      </c>
    </row>
    <row r="48" spans="1:15">
      <c r="A48" t="s">
        <v>66</v>
      </c>
      <c r="B48">
        <f t="shared" si="1"/>
        <v>0.15625</v>
      </c>
      <c r="C48">
        <f t="shared" si="1"/>
        <v>0.15625</v>
      </c>
      <c r="D48">
        <v>1.3</v>
      </c>
      <c r="E48" t="s">
        <v>83</v>
      </c>
      <c r="F48" s="2" t="s">
        <v>18</v>
      </c>
      <c r="G48" t="s">
        <v>21</v>
      </c>
      <c r="H48" t="s">
        <v>23</v>
      </c>
      <c r="I48" t="s">
        <v>19</v>
      </c>
      <c r="J48" t="s">
        <v>24</v>
      </c>
      <c r="K48" s="2" t="s">
        <v>18</v>
      </c>
      <c r="L48" t="s">
        <v>21</v>
      </c>
      <c r="M48" t="s">
        <v>23</v>
      </c>
      <c r="N48" t="s">
        <v>19</v>
      </c>
      <c r="O48" t="s">
        <v>24</v>
      </c>
    </row>
    <row r="49" spans="1:15">
      <c r="A49" t="s">
        <v>66</v>
      </c>
      <c r="B49">
        <f t="shared" si="1"/>
        <v>0.15625</v>
      </c>
      <c r="C49">
        <f t="shared" si="1"/>
        <v>0.15625</v>
      </c>
      <c r="D49">
        <v>1.2</v>
      </c>
      <c r="E49" t="s">
        <v>83</v>
      </c>
      <c r="F49" s="2" t="s">
        <v>20</v>
      </c>
      <c r="G49" t="s">
        <v>17</v>
      </c>
      <c r="H49" t="s">
        <v>25</v>
      </c>
      <c r="I49" t="s">
        <v>19</v>
      </c>
      <c r="J49" t="s">
        <v>23</v>
      </c>
      <c r="K49" s="2" t="s">
        <v>20</v>
      </c>
      <c r="L49" t="s">
        <v>17</v>
      </c>
      <c r="M49" t="s">
        <v>25</v>
      </c>
      <c r="N49" t="s">
        <v>19</v>
      </c>
      <c r="O49" t="s">
        <v>23</v>
      </c>
    </row>
    <row r="50" spans="1:15">
      <c r="A50" t="s">
        <v>66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83</v>
      </c>
      <c r="F50" s="2" t="s">
        <v>23</v>
      </c>
      <c r="G50" t="s">
        <v>26</v>
      </c>
      <c r="H50" t="s">
        <v>24</v>
      </c>
      <c r="I50" t="s">
        <v>25</v>
      </c>
      <c r="J50" t="s">
        <v>18</v>
      </c>
      <c r="K50" s="2" t="s">
        <v>23</v>
      </c>
      <c r="L50" t="s">
        <v>26</v>
      </c>
      <c r="M50" t="s">
        <v>24</v>
      </c>
      <c r="N50" t="s">
        <v>25</v>
      </c>
      <c r="O50" t="s">
        <v>18</v>
      </c>
    </row>
    <row r="51" spans="1:15">
      <c r="A51" t="s">
        <v>66</v>
      </c>
      <c r="B51">
        <f t="shared" si="1"/>
        <v>0.15625</v>
      </c>
      <c r="C51">
        <f t="shared" si="1"/>
        <v>0.15625</v>
      </c>
      <c r="D51">
        <v>1</v>
      </c>
      <c r="E51" t="s">
        <v>83</v>
      </c>
      <c r="F51" s="2" t="s">
        <v>23</v>
      </c>
      <c r="G51" t="s">
        <v>17</v>
      </c>
      <c r="H51" t="s">
        <v>19</v>
      </c>
      <c r="I51" t="s">
        <v>26</v>
      </c>
      <c r="J51" t="s">
        <v>18</v>
      </c>
      <c r="K51" s="2" t="s">
        <v>23</v>
      </c>
      <c r="L51" t="s">
        <v>17</v>
      </c>
      <c r="M51" t="s">
        <v>19</v>
      </c>
      <c r="N51" t="s">
        <v>26</v>
      </c>
      <c r="O51" t="s">
        <v>18</v>
      </c>
    </row>
    <row r="52" spans="1:15">
      <c r="A52" t="s">
        <v>66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83</v>
      </c>
      <c r="F52" s="2" t="s">
        <v>23</v>
      </c>
      <c r="G52" t="s">
        <v>22</v>
      </c>
      <c r="H52" t="s">
        <v>20</v>
      </c>
      <c r="I52" t="s">
        <v>26</v>
      </c>
      <c r="J52" t="s">
        <v>19</v>
      </c>
      <c r="K52" s="2" t="s">
        <v>23</v>
      </c>
      <c r="L52" t="s">
        <v>22</v>
      </c>
      <c r="M52" t="s">
        <v>20</v>
      </c>
      <c r="N52" t="s">
        <v>26</v>
      </c>
      <c r="O52" t="s">
        <v>19</v>
      </c>
    </row>
    <row r="53" spans="1:15">
      <c r="A53" t="s">
        <v>66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83</v>
      </c>
      <c r="F53" s="2" t="s">
        <v>24</v>
      </c>
      <c r="G53" t="s">
        <v>23</v>
      </c>
      <c r="H53" t="s">
        <v>26</v>
      </c>
      <c r="I53" t="s">
        <v>18</v>
      </c>
      <c r="J53" t="s">
        <v>20</v>
      </c>
      <c r="K53" s="2" t="s">
        <v>24</v>
      </c>
      <c r="L53" t="s">
        <v>23</v>
      </c>
      <c r="M53" t="s">
        <v>26</v>
      </c>
      <c r="N53" t="s">
        <v>18</v>
      </c>
      <c r="O53" t="s">
        <v>20</v>
      </c>
    </row>
    <row r="54" spans="1:15">
      <c r="A54" t="s">
        <v>66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83</v>
      </c>
      <c r="F54" s="2" t="s">
        <v>17</v>
      </c>
      <c r="G54" t="s">
        <v>24</v>
      </c>
      <c r="H54" t="s">
        <v>18</v>
      </c>
      <c r="I54" t="s">
        <v>19</v>
      </c>
      <c r="J54" t="s">
        <v>26</v>
      </c>
      <c r="K54" s="2"/>
      <c r="L54" t="s">
        <v>24</v>
      </c>
      <c r="N54" t="s">
        <v>19</v>
      </c>
    </row>
    <row r="55" spans="1:15">
      <c r="A55" t="s">
        <v>66</v>
      </c>
      <c r="B55">
        <f t="shared" si="1"/>
        <v>0.15625</v>
      </c>
      <c r="C55">
        <f t="shared" si="1"/>
        <v>0.15625</v>
      </c>
      <c r="D55">
        <v>0.6</v>
      </c>
      <c r="E55" t="s">
        <v>83</v>
      </c>
      <c r="F55" s="2" t="s">
        <v>24</v>
      </c>
      <c r="G55" t="s">
        <v>26</v>
      </c>
      <c r="H55" t="s">
        <v>25</v>
      </c>
      <c r="I55" t="s">
        <v>20</v>
      </c>
      <c r="J55" t="s">
        <v>19</v>
      </c>
      <c r="K55" s="2"/>
    </row>
    <row r="56" spans="1:15">
      <c r="A56" t="s">
        <v>66</v>
      </c>
      <c r="B56">
        <f t="shared" si="1"/>
        <v>0.15625</v>
      </c>
      <c r="C56">
        <f t="shared" si="1"/>
        <v>0.15625</v>
      </c>
      <c r="D56">
        <v>0.5</v>
      </c>
      <c r="E56" t="s">
        <v>83</v>
      </c>
      <c r="F56" s="2" t="s">
        <v>22</v>
      </c>
      <c r="G56" t="s">
        <v>18</v>
      </c>
      <c r="H56" t="s">
        <v>24</v>
      </c>
      <c r="I56" t="s">
        <v>25</v>
      </c>
      <c r="J56" t="s">
        <v>26</v>
      </c>
    </row>
    <row r="57" spans="1:15">
      <c r="A57" t="s">
        <v>66</v>
      </c>
      <c r="B57">
        <f t="shared" si="1"/>
        <v>0.15625</v>
      </c>
      <c r="C57">
        <f t="shared" si="1"/>
        <v>0.15625</v>
      </c>
      <c r="D57">
        <v>0.4</v>
      </c>
      <c r="E57" t="s">
        <v>83</v>
      </c>
      <c r="F57" s="2" t="s">
        <v>20</v>
      </c>
      <c r="G57" t="s">
        <v>17</v>
      </c>
      <c r="H57" t="s">
        <v>18</v>
      </c>
      <c r="I57" t="s">
        <v>19</v>
      </c>
      <c r="J57" t="s">
        <v>26</v>
      </c>
    </row>
    <row r="58" spans="1:15">
      <c r="A58" t="s">
        <v>66</v>
      </c>
      <c r="B58">
        <f t="shared" si="1"/>
        <v>0.15625</v>
      </c>
      <c r="C58">
        <f t="shared" si="1"/>
        <v>0.15625</v>
      </c>
      <c r="D58">
        <v>0.3</v>
      </c>
      <c r="E58" t="s">
        <v>83</v>
      </c>
      <c r="F58" s="2" t="s">
        <v>23</v>
      </c>
      <c r="G58" t="s">
        <v>25</v>
      </c>
      <c r="H58" t="s">
        <v>17</v>
      </c>
      <c r="I58" t="s">
        <v>22</v>
      </c>
      <c r="J58" t="s">
        <v>21</v>
      </c>
    </row>
    <row r="59" spans="1:15">
      <c r="A59" t="s">
        <v>66</v>
      </c>
      <c r="B59">
        <f t="shared" si="1"/>
        <v>0.15625</v>
      </c>
      <c r="C59">
        <f t="shared" si="1"/>
        <v>0.15625</v>
      </c>
      <c r="D59">
        <v>0.2</v>
      </c>
      <c r="E59" t="s">
        <v>83</v>
      </c>
      <c r="F59" s="2" t="s">
        <v>19</v>
      </c>
      <c r="G59" t="s">
        <v>22</v>
      </c>
      <c r="H59" t="s">
        <v>20</v>
      </c>
      <c r="I59" t="s">
        <v>21</v>
      </c>
      <c r="J59" t="s">
        <v>26</v>
      </c>
    </row>
    <row r="60" spans="1:15">
      <c r="A60" t="s">
        <v>66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83</v>
      </c>
      <c r="F60" s="2" t="s">
        <v>21</v>
      </c>
      <c r="G60" t="s">
        <v>23</v>
      </c>
      <c r="H60" t="s">
        <v>25</v>
      </c>
      <c r="I60" t="s">
        <v>19</v>
      </c>
      <c r="J60" t="s">
        <v>17</v>
      </c>
    </row>
    <row r="61" spans="1:15">
      <c r="A61" t="s">
        <v>66</v>
      </c>
      <c r="B61">
        <f t="shared" si="1"/>
        <v>0.15625</v>
      </c>
      <c r="C61">
        <f t="shared" si="1"/>
        <v>0.15625</v>
      </c>
      <c r="D61">
        <v>0</v>
      </c>
      <c r="E61" t="s">
        <v>83</v>
      </c>
      <c r="F61" s="2" t="s">
        <v>26</v>
      </c>
      <c r="G61" t="s">
        <v>24</v>
      </c>
      <c r="H61" t="s">
        <v>23</v>
      </c>
      <c r="I61" t="s">
        <v>21</v>
      </c>
      <c r="J61" t="s">
        <v>22</v>
      </c>
    </row>
    <row r="62" spans="1:15">
      <c r="A62" t="s">
        <v>66</v>
      </c>
      <c r="B62">
        <f t="shared" si="1"/>
        <v>0.15625</v>
      </c>
      <c r="C62">
        <f t="shared" si="1"/>
        <v>0.15625</v>
      </c>
      <c r="D62">
        <v>-0.1</v>
      </c>
      <c r="E62" t="s">
        <v>83</v>
      </c>
      <c r="F62" s="2" t="s">
        <v>19</v>
      </c>
      <c r="G62" t="s">
        <v>22</v>
      </c>
      <c r="H62" t="s">
        <v>23</v>
      </c>
      <c r="I62" t="s">
        <v>18</v>
      </c>
      <c r="J62" t="s">
        <v>26</v>
      </c>
    </row>
    <row r="63" spans="1:15">
      <c r="A63" t="s">
        <v>66</v>
      </c>
      <c r="B63">
        <f t="shared" si="1"/>
        <v>0.15625</v>
      </c>
      <c r="C63">
        <f t="shared" si="1"/>
        <v>0.15625</v>
      </c>
      <c r="D63">
        <v>-0.2</v>
      </c>
      <c r="E63" t="s">
        <v>83</v>
      </c>
      <c r="F63" s="2" t="s">
        <v>26</v>
      </c>
      <c r="G63" t="s">
        <v>23</v>
      </c>
      <c r="H63" t="s">
        <v>20</v>
      </c>
      <c r="I63" t="s">
        <v>25</v>
      </c>
      <c r="J63" t="s">
        <v>17</v>
      </c>
    </row>
    <row r="64" spans="1:15">
      <c r="A64" t="s">
        <v>66</v>
      </c>
      <c r="B64">
        <f t="shared" si="1"/>
        <v>0.15625</v>
      </c>
      <c r="C64">
        <f t="shared" si="1"/>
        <v>0.15625</v>
      </c>
      <c r="D64">
        <v>-0.3</v>
      </c>
      <c r="E64" t="s">
        <v>83</v>
      </c>
      <c r="F64" s="2" t="s">
        <v>19</v>
      </c>
      <c r="G64" t="s">
        <v>25</v>
      </c>
      <c r="H64" t="s">
        <v>26</v>
      </c>
      <c r="I64" t="s">
        <v>24</v>
      </c>
      <c r="J64" t="s">
        <v>23</v>
      </c>
    </row>
    <row r="65" spans="1:15">
      <c r="A65" t="s">
        <v>67</v>
      </c>
      <c r="B65">
        <f>1/11.65</f>
        <v>8.5836909871244635E-2</v>
      </c>
      <c r="C65">
        <f>1/11.65</f>
        <v>8.5836909871244635E-2</v>
      </c>
      <c r="D65">
        <v>1.7</v>
      </c>
      <c r="E65" t="s">
        <v>83</v>
      </c>
      <c r="F65" s="2" t="s">
        <v>26</v>
      </c>
      <c r="G65" t="s">
        <v>23</v>
      </c>
      <c r="H65" t="s">
        <v>19</v>
      </c>
      <c r="I65" t="s">
        <v>25</v>
      </c>
      <c r="J65" t="s">
        <v>18</v>
      </c>
      <c r="K65" s="2" t="s">
        <v>26</v>
      </c>
      <c r="L65" t="s">
        <v>23</v>
      </c>
      <c r="M65" t="s">
        <v>19</v>
      </c>
      <c r="N65" t="s">
        <v>25</v>
      </c>
      <c r="O65" t="s">
        <v>18</v>
      </c>
    </row>
    <row r="66" spans="1:15">
      <c r="A66" t="s">
        <v>67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83</v>
      </c>
      <c r="F66" s="2" t="s">
        <v>17</v>
      </c>
      <c r="G66" t="s">
        <v>21</v>
      </c>
      <c r="H66" t="s">
        <v>25</v>
      </c>
      <c r="I66" t="s">
        <v>22</v>
      </c>
      <c r="J66" t="s">
        <v>18</v>
      </c>
      <c r="K66" s="2" t="s">
        <v>17</v>
      </c>
      <c r="L66" t="s">
        <v>21</v>
      </c>
      <c r="M66" t="s">
        <v>25</v>
      </c>
      <c r="N66" t="s">
        <v>22</v>
      </c>
      <c r="O66" t="s">
        <v>18</v>
      </c>
    </row>
    <row r="67" spans="1:15">
      <c r="A67" t="s">
        <v>67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83</v>
      </c>
      <c r="F67" s="2" t="s">
        <v>22</v>
      </c>
      <c r="G67" t="s">
        <v>18</v>
      </c>
      <c r="H67" t="s">
        <v>19</v>
      </c>
      <c r="I67" t="s">
        <v>20</v>
      </c>
      <c r="J67" t="s">
        <v>17</v>
      </c>
      <c r="K67" s="2" t="s">
        <v>22</v>
      </c>
      <c r="L67" t="s">
        <v>18</v>
      </c>
      <c r="M67" t="s">
        <v>19</v>
      </c>
      <c r="N67" t="s">
        <v>20</v>
      </c>
      <c r="O67" t="s">
        <v>17</v>
      </c>
    </row>
    <row r="68" spans="1:15">
      <c r="A68" t="s">
        <v>67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83</v>
      </c>
      <c r="F68" s="2" t="s">
        <v>23</v>
      </c>
      <c r="G68" t="s">
        <v>26</v>
      </c>
      <c r="H68" t="s">
        <v>17</v>
      </c>
      <c r="I68" t="s">
        <v>20</v>
      </c>
      <c r="J68" t="s">
        <v>21</v>
      </c>
      <c r="K68" s="2" t="s">
        <v>23</v>
      </c>
      <c r="L68" t="s">
        <v>26</v>
      </c>
      <c r="M68" t="s">
        <v>17</v>
      </c>
      <c r="N68" t="s">
        <v>20</v>
      </c>
      <c r="O68" t="s">
        <v>21</v>
      </c>
    </row>
    <row r="69" spans="1:15">
      <c r="A69" t="s">
        <v>67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83</v>
      </c>
      <c r="F69" s="2" t="s">
        <v>21</v>
      </c>
      <c r="G69" t="s">
        <v>26</v>
      </c>
      <c r="H69" t="s">
        <v>20</v>
      </c>
      <c r="I69" t="s">
        <v>19</v>
      </c>
      <c r="J69" t="s">
        <v>24</v>
      </c>
      <c r="K69" s="2" t="s">
        <v>21</v>
      </c>
      <c r="L69" t="s">
        <v>26</v>
      </c>
      <c r="M69" t="s">
        <v>20</v>
      </c>
      <c r="N69" t="s">
        <v>19</v>
      </c>
      <c r="O69" t="s">
        <v>24</v>
      </c>
    </row>
    <row r="70" spans="1:15">
      <c r="A70" t="s">
        <v>67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83</v>
      </c>
      <c r="F70" s="2" t="s">
        <v>21</v>
      </c>
      <c r="G70" t="s">
        <v>22</v>
      </c>
      <c r="H70" t="s">
        <v>24</v>
      </c>
      <c r="I70" t="s">
        <v>26</v>
      </c>
      <c r="J70" t="s">
        <v>17</v>
      </c>
      <c r="K70" s="2" t="s">
        <v>21</v>
      </c>
      <c r="L70" t="s">
        <v>22</v>
      </c>
      <c r="M70" t="s">
        <v>24</v>
      </c>
      <c r="N70" t="s">
        <v>26</v>
      </c>
      <c r="O70" t="s">
        <v>17</v>
      </c>
    </row>
    <row r="71" spans="1:15">
      <c r="A71" t="s">
        <v>67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83</v>
      </c>
      <c r="F71" s="2" t="s">
        <v>24</v>
      </c>
      <c r="G71" t="s">
        <v>23</v>
      </c>
      <c r="H71" t="s">
        <v>21</v>
      </c>
      <c r="I71" t="s">
        <v>17</v>
      </c>
      <c r="J71" t="s">
        <v>22</v>
      </c>
      <c r="K71" s="2" t="s">
        <v>24</v>
      </c>
      <c r="L71" t="s">
        <v>23</v>
      </c>
      <c r="M71" t="s">
        <v>21</v>
      </c>
      <c r="N71" t="s">
        <v>17</v>
      </c>
      <c r="O71" t="s">
        <v>22</v>
      </c>
    </row>
    <row r="72" spans="1:15">
      <c r="A72" t="s">
        <v>67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83</v>
      </c>
      <c r="F72" s="2" t="s">
        <v>22</v>
      </c>
      <c r="G72" t="s">
        <v>24</v>
      </c>
      <c r="H72" t="s">
        <v>18</v>
      </c>
      <c r="I72" t="s">
        <v>21</v>
      </c>
      <c r="J72" t="s">
        <v>19</v>
      </c>
      <c r="K72" s="2" t="s">
        <v>22</v>
      </c>
      <c r="M72" t="s">
        <v>18</v>
      </c>
      <c r="O72" t="s">
        <v>19</v>
      </c>
    </row>
    <row r="73" spans="1:15">
      <c r="A73" t="s">
        <v>67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83</v>
      </c>
      <c r="F73" s="2" t="s">
        <v>19</v>
      </c>
      <c r="G73" t="s">
        <v>23</v>
      </c>
      <c r="H73" t="s">
        <v>22</v>
      </c>
      <c r="I73" t="s">
        <v>17</v>
      </c>
      <c r="J73" t="s">
        <v>26</v>
      </c>
    </row>
    <row r="74" spans="1:15">
      <c r="A74" t="s">
        <v>67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83</v>
      </c>
      <c r="F74" s="2" t="s">
        <v>26</v>
      </c>
      <c r="G74" t="s">
        <v>20</v>
      </c>
      <c r="H74" t="s">
        <v>21</v>
      </c>
      <c r="I74" t="s">
        <v>18</v>
      </c>
      <c r="J74" t="s">
        <v>19</v>
      </c>
    </row>
    <row r="75" spans="1:15">
      <c r="A75" t="s">
        <v>67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83</v>
      </c>
      <c r="F75" s="2" t="s">
        <v>25</v>
      </c>
      <c r="G75" t="s">
        <v>21</v>
      </c>
      <c r="H75" t="s">
        <v>24</v>
      </c>
      <c r="I75" t="s">
        <v>22</v>
      </c>
      <c r="J75" t="s">
        <v>17</v>
      </c>
    </row>
    <row r="76" spans="1:15">
      <c r="A76" t="s">
        <v>67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83</v>
      </c>
      <c r="F76" s="2" t="s">
        <v>23</v>
      </c>
      <c r="G76" t="s">
        <v>18</v>
      </c>
      <c r="H76" t="s">
        <v>17</v>
      </c>
      <c r="I76" t="s">
        <v>26</v>
      </c>
      <c r="J76" t="s">
        <v>25</v>
      </c>
    </row>
    <row r="77" spans="1:15">
      <c r="A77" t="s">
        <v>67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83</v>
      </c>
      <c r="F77" s="2" t="s">
        <v>17</v>
      </c>
      <c r="G77" t="s">
        <v>25</v>
      </c>
      <c r="H77" t="s">
        <v>23</v>
      </c>
      <c r="I77" t="s">
        <v>20</v>
      </c>
      <c r="J77" t="s">
        <v>18</v>
      </c>
    </row>
    <row r="78" spans="1:15">
      <c r="A78" t="s">
        <v>67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83</v>
      </c>
      <c r="F78" s="2" t="s">
        <v>24</v>
      </c>
      <c r="G78" t="s">
        <v>17</v>
      </c>
      <c r="H78" t="s">
        <v>26</v>
      </c>
      <c r="I78" t="s">
        <v>23</v>
      </c>
      <c r="J78" t="s">
        <v>19</v>
      </c>
    </row>
    <row r="79" spans="1:15">
      <c r="A79" t="s">
        <v>67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83</v>
      </c>
      <c r="F79" s="2" t="s">
        <v>26</v>
      </c>
      <c r="G79" t="s">
        <v>18</v>
      </c>
      <c r="H79" t="s">
        <v>21</v>
      </c>
      <c r="I79" t="s">
        <v>24</v>
      </c>
      <c r="J79" t="s">
        <v>22</v>
      </c>
    </row>
    <row r="80" spans="1:15">
      <c r="A80" t="s">
        <v>67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83</v>
      </c>
      <c r="F80" s="2" t="s">
        <v>26</v>
      </c>
      <c r="G80" t="s">
        <v>25</v>
      </c>
      <c r="H80" t="s">
        <v>20</v>
      </c>
      <c r="I80" t="s">
        <v>17</v>
      </c>
      <c r="J80" t="s">
        <v>23</v>
      </c>
    </row>
    <row r="81" spans="1:15">
      <c r="A81" t="s">
        <v>67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83</v>
      </c>
      <c r="F81" s="2" t="s">
        <v>23</v>
      </c>
      <c r="G81" t="s">
        <v>22</v>
      </c>
      <c r="H81" t="s">
        <v>25</v>
      </c>
      <c r="I81" t="s">
        <v>24</v>
      </c>
      <c r="J81" t="s">
        <v>26</v>
      </c>
    </row>
    <row r="82" spans="1:15">
      <c r="A82" t="s">
        <v>67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83</v>
      </c>
      <c r="F82" s="2" t="s">
        <v>24</v>
      </c>
      <c r="G82" t="s">
        <v>17</v>
      </c>
      <c r="H82" t="s">
        <v>23</v>
      </c>
      <c r="I82" t="s">
        <v>22</v>
      </c>
      <c r="J82" t="s">
        <v>25</v>
      </c>
    </row>
    <row r="83" spans="1:15">
      <c r="A83" t="s">
        <v>67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83</v>
      </c>
      <c r="F83" s="2" t="s">
        <v>25</v>
      </c>
      <c r="G83" t="s">
        <v>22</v>
      </c>
      <c r="H83" t="s">
        <v>19</v>
      </c>
      <c r="I83" t="s">
        <v>17</v>
      </c>
      <c r="J83" t="s">
        <v>21</v>
      </c>
    </row>
    <row r="84" spans="1:15">
      <c r="A84" t="s">
        <v>67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83</v>
      </c>
      <c r="F84" s="2" t="s">
        <v>23</v>
      </c>
      <c r="G84" t="s">
        <v>19</v>
      </c>
      <c r="H84" t="s">
        <v>26</v>
      </c>
      <c r="I84" t="s">
        <v>25</v>
      </c>
      <c r="J84" t="s">
        <v>21</v>
      </c>
    </row>
    <row r="85" spans="1:15">
      <c r="A85" t="s">
        <v>67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83</v>
      </c>
      <c r="F85" s="2" t="s">
        <v>19</v>
      </c>
      <c r="G85" t="s">
        <v>24</v>
      </c>
      <c r="H85" t="s">
        <v>26</v>
      </c>
      <c r="I85" t="s">
        <v>20</v>
      </c>
      <c r="J85" t="s">
        <v>18</v>
      </c>
    </row>
    <row r="86" spans="1:15">
      <c r="A86" t="s">
        <v>68</v>
      </c>
      <c r="B86">
        <f>1/20.9</f>
        <v>4.784688995215311E-2</v>
      </c>
      <c r="C86">
        <f>1/20.9</f>
        <v>4.784688995215311E-2</v>
      </c>
      <c r="D86">
        <v>1.7</v>
      </c>
      <c r="E86" t="s">
        <v>83</v>
      </c>
      <c r="F86" s="2" t="s">
        <v>26</v>
      </c>
      <c r="G86" t="s">
        <v>17</v>
      </c>
      <c r="H86" t="s">
        <v>24</v>
      </c>
      <c r="I86" t="s">
        <v>19</v>
      </c>
      <c r="J86" t="s">
        <v>23</v>
      </c>
      <c r="K86" s="2" t="s">
        <v>26</v>
      </c>
      <c r="L86" t="s">
        <v>17</v>
      </c>
      <c r="M86" t="s">
        <v>24</v>
      </c>
      <c r="N86" t="s">
        <v>19</v>
      </c>
      <c r="O86" t="s">
        <v>23</v>
      </c>
    </row>
    <row r="87" spans="1:15">
      <c r="A87" t="s">
        <v>68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83</v>
      </c>
      <c r="F87" s="2" t="s">
        <v>19</v>
      </c>
      <c r="G87" t="s">
        <v>20</v>
      </c>
      <c r="H87" t="s">
        <v>21</v>
      </c>
      <c r="I87" t="s">
        <v>18</v>
      </c>
      <c r="J87" t="s">
        <v>25</v>
      </c>
      <c r="K87" s="2" t="s">
        <v>19</v>
      </c>
      <c r="L87" t="s">
        <v>20</v>
      </c>
      <c r="M87" t="s">
        <v>21</v>
      </c>
      <c r="N87" t="s">
        <v>18</v>
      </c>
      <c r="O87" t="s">
        <v>25</v>
      </c>
    </row>
    <row r="88" spans="1:15">
      <c r="A88" t="s">
        <v>68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83</v>
      </c>
      <c r="F88" s="2" t="s">
        <v>17</v>
      </c>
      <c r="G88" t="s">
        <v>25</v>
      </c>
      <c r="H88" t="s">
        <v>23</v>
      </c>
      <c r="I88" t="s">
        <v>24</v>
      </c>
      <c r="J88" t="s">
        <v>18</v>
      </c>
      <c r="K88" s="2"/>
      <c r="L88" t="s">
        <v>25</v>
      </c>
      <c r="M88" t="s">
        <v>23</v>
      </c>
      <c r="N88" t="s">
        <v>24</v>
      </c>
      <c r="O88" t="s">
        <v>18</v>
      </c>
    </row>
    <row r="89" spans="1:15">
      <c r="A89" t="s">
        <v>68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83</v>
      </c>
      <c r="F89" s="2" t="s">
        <v>22</v>
      </c>
      <c r="G89" t="s">
        <v>21</v>
      </c>
      <c r="H89" t="s">
        <v>18</v>
      </c>
      <c r="I89" t="s">
        <v>26</v>
      </c>
      <c r="J89" t="s">
        <v>17</v>
      </c>
      <c r="K89" s="2"/>
      <c r="L89" t="s">
        <v>21</v>
      </c>
    </row>
    <row r="90" spans="1:15">
      <c r="A90" t="s">
        <v>68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83</v>
      </c>
      <c r="F90" s="2" t="s">
        <v>17</v>
      </c>
      <c r="G90" t="s">
        <v>21</v>
      </c>
      <c r="H90" t="s">
        <v>22</v>
      </c>
      <c r="I90" t="s">
        <v>26</v>
      </c>
      <c r="J90" t="s">
        <v>24</v>
      </c>
      <c r="K90" s="2"/>
    </row>
    <row r="91" spans="1:15">
      <c r="A91" t="s">
        <v>68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83</v>
      </c>
      <c r="F91" s="2" t="s">
        <v>18</v>
      </c>
      <c r="G91" t="s">
        <v>24</v>
      </c>
      <c r="H91" t="s">
        <v>26</v>
      </c>
      <c r="I91" t="s">
        <v>25</v>
      </c>
      <c r="J91" t="s">
        <v>17</v>
      </c>
      <c r="K91" s="2"/>
    </row>
    <row r="92" spans="1:15">
      <c r="A92" t="s">
        <v>68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83</v>
      </c>
      <c r="F92" s="2" t="s">
        <v>19</v>
      </c>
      <c r="G92" t="s">
        <v>22</v>
      </c>
      <c r="H92" t="s">
        <v>25</v>
      </c>
      <c r="I92" t="s">
        <v>17</v>
      </c>
      <c r="J92" t="s">
        <v>24</v>
      </c>
    </row>
    <row r="93" spans="1:15">
      <c r="A93" t="s">
        <v>68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83</v>
      </c>
      <c r="F93" s="2" t="s">
        <v>20</v>
      </c>
      <c r="G93" t="s">
        <v>24</v>
      </c>
      <c r="H93" t="s">
        <v>23</v>
      </c>
      <c r="I93" t="s">
        <v>25</v>
      </c>
      <c r="J93" t="s">
        <v>17</v>
      </c>
    </row>
    <row r="94" spans="1:15">
      <c r="A94" t="s">
        <v>68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83</v>
      </c>
      <c r="F94" s="2" t="s">
        <v>18</v>
      </c>
      <c r="G94" t="s">
        <v>17</v>
      </c>
      <c r="H94" t="s">
        <v>25</v>
      </c>
      <c r="I94" t="s">
        <v>22</v>
      </c>
      <c r="J94" t="s">
        <v>19</v>
      </c>
    </row>
    <row r="95" spans="1:15">
      <c r="A95" t="s">
        <v>68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83</v>
      </c>
      <c r="F95" s="2" t="s">
        <v>19</v>
      </c>
      <c r="G95" t="s">
        <v>25</v>
      </c>
      <c r="H95" t="s">
        <v>17</v>
      </c>
      <c r="I95" t="s">
        <v>22</v>
      </c>
      <c r="J95" t="s">
        <v>23</v>
      </c>
    </row>
    <row r="96" spans="1:15">
      <c r="A96" t="s">
        <v>68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83</v>
      </c>
      <c r="F96" s="2" t="s">
        <v>20</v>
      </c>
      <c r="G96" t="s">
        <v>21</v>
      </c>
      <c r="H96" t="s">
        <v>19</v>
      </c>
      <c r="I96" t="s">
        <v>23</v>
      </c>
      <c r="J96" t="s">
        <v>24</v>
      </c>
    </row>
    <row r="97" spans="1:15">
      <c r="A97" t="s">
        <v>68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83</v>
      </c>
      <c r="F97" s="2" t="s">
        <v>19</v>
      </c>
      <c r="G97" t="s">
        <v>22</v>
      </c>
      <c r="H97" t="s">
        <v>25</v>
      </c>
      <c r="I97" t="s">
        <v>18</v>
      </c>
      <c r="J97" t="s">
        <v>26</v>
      </c>
    </row>
    <row r="98" spans="1:15">
      <c r="A98" t="s">
        <v>68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83</v>
      </c>
      <c r="F98" s="2" t="s">
        <v>18</v>
      </c>
      <c r="G98" t="s">
        <v>21</v>
      </c>
      <c r="H98" t="s">
        <v>23</v>
      </c>
      <c r="I98" t="s">
        <v>22</v>
      </c>
      <c r="J98" t="s">
        <v>20</v>
      </c>
    </row>
    <row r="99" spans="1:15">
      <c r="A99" t="s">
        <v>68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83</v>
      </c>
      <c r="F99" s="2" t="s">
        <v>18</v>
      </c>
      <c r="G99" t="s">
        <v>25</v>
      </c>
      <c r="H99" t="s">
        <v>21</v>
      </c>
      <c r="I99" t="s">
        <v>20</v>
      </c>
      <c r="J99" t="s">
        <v>23</v>
      </c>
    </row>
    <row r="100" spans="1:15">
      <c r="A100" t="s">
        <v>68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83</v>
      </c>
      <c r="F100" s="2" t="s">
        <v>26</v>
      </c>
      <c r="G100" t="s">
        <v>22</v>
      </c>
      <c r="H100" t="s">
        <v>17</v>
      </c>
      <c r="I100" t="s">
        <v>25</v>
      </c>
      <c r="J100" t="s">
        <v>24</v>
      </c>
    </row>
    <row r="101" spans="1:15">
      <c r="A101" t="s">
        <v>68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83</v>
      </c>
      <c r="F101" s="2" t="s">
        <v>25</v>
      </c>
      <c r="G101" t="s">
        <v>22</v>
      </c>
      <c r="H101" t="s">
        <v>19</v>
      </c>
      <c r="I101" t="s">
        <v>17</v>
      </c>
      <c r="J101" t="s">
        <v>20</v>
      </c>
    </row>
    <row r="102" spans="1:15">
      <c r="A102" t="s">
        <v>68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83</v>
      </c>
      <c r="F102" s="2" t="s">
        <v>18</v>
      </c>
      <c r="G102" t="s">
        <v>24</v>
      </c>
      <c r="H102" t="s">
        <v>22</v>
      </c>
      <c r="I102" t="s">
        <v>17</v>
      </c>
      <c r="J102" t="s">
        <v>19</v>
      </c>
    </row>
    <row r="103" spans="1:15">
      <c r="A103" t="s">
        <v>68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83</v>
      </c>
      <c r="F103" s="2" t="s">
        <v>17</v>
      </c>
      <c r="G103" t="s">
        <v>23</v>
      </c>
      <c r="H103" t="s">
        <v>24</v>
      </c>
      <c r="I103" t="s">
        <v>20</v>
      </c>
      <c r="J103" t="s">
        <v>18</v>
      </c>
    </row>
    <row r="104" spans="1:15">
      <c r="A104" t="s">
        <v>68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83</v>
      </c>
      <c r="F104" s="2" t="s">
        <v>25</v>
      </c>
      <c r="G104" t="s">
        <v>26</v>
      </c>
      <c r="H104" t="s">
        <v>21</v>
      </c>
      <c r="I104" t="s">
        <v>19</v>
      </c>
      <c r="J104" t="s">
        <v>18</v>
      </c>
    </row>
    <row r="105" spans="1:15">
      <c r="A105" t="s">
        <v>68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83</v>
      </c>
      <c r="F105" s="2" t="s">
        <v>17</v>
      </c>
      <c r="G105" t="s">
        <v>20</v>
      </c>
      <c r="H105" t="s">
        <v>26</v>
      </c>
      <c r="I105" t="s">
        <v>19</v>
      </c>
      <c r="J105" t="s">
        <v>23</v>
      </c>
    </row>
    <row r="106" spans="1:15">
      <c r="A106" t="s">
        <v>68</v>
      </c>
      <c r="B106">
        <f>1/20.9</f>
        <v>4.784688995215311E-2</v>
      </c>
      <c r="C106">
        <f>1/20.9</f>
        <v>4.784688995215311E-2</v>
      </c>
      <c r="D106">
        <v>-0.3</v>
      </c>
      <c r="E106" t="s">
        <v>83</v>
      </c>
      <c r="F106" s="2" t="s">
        <v>26</v>
      </c>
      <c r="G106" t="s">
        <v>23</v>
      </c>
      <c r="H106" t="s">
        <v>17</v>
      </c>
      <c r="I106" t="s">
        <v>25</v>
      </c>
      <c r="J106" t="s">
        <v>21</v>
      </c>
    </row>
    <row r="107" spans="1:15">
      <c r="A107" t="s">
        <v>69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83</v>
      </c>
      <c r="F107" s="2" t="s">
        <v>19</v>
      </c>
      <c r="G107" t="s">
        <v>24</v>
      </c>
      <c r="H107" t="s">
        <v>25</v>
      </c>
      <c r="I107" t="s">
        <v>21</v>
      </c>
      <c r="J107" t="s">
        <v>18</v>
      </c>
      <c r="K107" s="2"/>
      <c r="L107" t="s">
        <v>24</v>
      </c>
      <c r="N107" t="s">
        <v>21</v>
      </c>
      <c r="O107" t="s">
        <v>18</v>
      </c>
    </row>
    <row r="108" spans="1:15">
      <c r="A108" t="s">
        <v>69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83</v>
      </c>
      <c r="F108" s="2" t="s">
        <v>26</v>
      </c>
      <c r="G108" t="s">
        <v>17</v>
      </c>
      <c r="H108" t="s">
        <v>25</v>
      </c>
      <c r="I108" t="s">
        <v>20</v>
      </c>
      <c r="J108" t="s">
        <v>18</v>
      </c>
    </row>
    <row r="109" spans="1:15">
      <c r="A109" t="s">
        <v>69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83</v>
      </c>
      <c r="F109" s="2" t="s">
        <v>25</v>
      </c>
      <c r="G109" t="s">
        <v>18</v>
      </c>
      <c r="H109" t="s">
        <v>17</v>
      </c>
      <c r="I109" t="s">
        <v>22</v>
      </c>
      <c r="J109" t="s">
        <v>26</v>
      </c>
    </row>
    <row r="110" spans="1:15">
      <c r="A110" t="s">
        <v>69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83</v>
      </c>
      <c r="F110" s="2" t="s">
        <v>25</v>
      </c>
      <c r="G110" t="s">
        <v>17</v>
      </c>
      <c r="H110" t="s">
        <v>21</v>
      </c>
      <c r="I110" t="s">
        <v>22</v>
      </c>
      <c r="J110" t="s">
        <v>19</v>
      </c>
    </row>
    <row r="111" spans="1:15">
      <c r="A111" t="s">
        <v>69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83</v>
      </c>
      <c r="F111" s="2" t="s">
        <v>21</v>
      </c>
      <c r="G111" t="s">
        <v>18</v>
      </c>
      <c r="H111" t="s">
        <v>23</v>
      </c>
      <c r="I111" t="s">
        <v>26</v>
      </c>
      <c r="J111" t="s">
        <v>20</v>
      </c>
    </row>
    <row r="112" spans="1:15">
      <c r="A112" t="s">
        <v>69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83</v>
      </c>
      <c r="F112" s="2" t="s">
        <v>22</v>
      </c>
      <c r="G112" t="s">
        <v>18</v>
      </c>
      <c r="H112" t="s">
        <v>24</v>
      </c>
      <c r="I112" t="s">
        <v>20</v>
      </c>
      <c r="J112" t="s">
        <v>17</v>
      </c>
    </row>
    <row r="113" spans="1:15">
      <c r="A113" t="s">
        <v>69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83</v>
      </c>
      <c r="F113" s="2" t="s">
        <v>17</v>
      </c>
      <c r="G113" t="s">
        <v>18</v>
      </c>
      <c r="H113" t="s">
        <v>23</v>
      </c>
      <c r="I113" t="s">
        <v>22</v>
      </c>
      <c r="J113" t="s">
        <v>26</v>
      </c>
    </row>
    <row r="114" spans="1:15">
      <c r="A114" t="s">
        <v>69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83</v>
      </c>
      <c r="F114" s="2" t="s">
        <v>22</v>
      </c>
      <c r="G114" t="s">
        <v>17</v>
      </c>
      <c r="H114" t="s">
        <v>18</v>
      </c>
      <c r="I114" t="s">
        <v>26</v>
      </c>
      <c r="J114" t="s">
        <v>20</v>
      </c>
    </row>
    <row r="115" spans="1:15">
      <c r="A115" t="s">
        <v>69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83</v>
      </c>
      <c r="F115" s="2" t="s">
        <v>25</v>
      </c>
      <c r="G115" t="s">
        <v>17</v>
      </c>
      <c r="H115" t="s">
        <v>23</v>
      </c>
      <c r="I115" t="s">
        <v>21</v>
      </c>
      <c r="J115" t="s">
        <v>24</v>
      </c>
    </row>
    <row r="116" spans="1:15">
      <c r="A116" t="s">
        <v>69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83</v>
      </c>
      <c r="F116" s="2" t="s">
        <v>21</v>
      </c>
      <c r="G116" t="s">
        <v>26</v>
      </c>
      <c r="H116" t="s">
        <v>17</v>
      </c>
      <c r="I116" t="s">
        <v>18</v>
      </c>
      <c r="J116" t="s">
        <v>20</v>
      </c>
    </row>
    <row r="117" spans="1:15">
      <c r="A117" t="s">
        <v>69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83</v>
      </c>
      <c r="F117" s="2" t="s">
        <v>18</v>
      </c>
      <c r="G117" t="s">
        <v>21</v>
      </c>
      <c r="H117" t="s">
        <v>23</v>
      </c>
      <c r="I117" t="s">
        <v>26</v>
      </c>
      <c r="J117" t="s">
        <v>20</v>
      </c>
    </row>
    <row r="118" spans="1:15">
      <c r="A118" t="s">
        <v>69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83</v>
      </c>
      <c r="F118" s="2" t="s">
        <v>17</v>
      </c>
      <c r="G118" t="s">
        <v>22</v>
      </c>
      <c r="H118" t="s">
        <v>26</v>
      </c>
      <c r="I118" t="s">
        <v>19</v>
      </c>
      <c r="J118" t="s">
        <v>23</v>
      </c>
    </row>
    <row r="119" spans="1:15">
      <c r="A119" t="s">
        <v>69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83</v>
      </c>
      <c r="F119" s="2" t="s">
        <v>22</v>
      </c>
      <c r="G119" t="s">
        <v>24</v>
      </c>
      <c r="H119" t="s">
        <v>25</v>
      </c>
      <c r="I119" t="s">
        <v>20</v>
      </c>
      <c r="J119" t="s">
        <v>26</v>
      </c>
    </row>
    <row r="120" spans="1:15">
      <c r="A120" t="s">
        <v>69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83</v>
      </c>
      <c r="F120" s="2" t="s">
        <v>20</v>
      </c>
      <c r="G120" t="s">
        <v>26</v>
      </c>
      <c r="H120" t="s">
        <v>17</v>
      </c>
      <c r="I120" t="s">
        <v>18</v>
      </c>
      <c r="J120" t="s">
        <v>21</v>
      </c>
    </row>
    <row r="121" spans="1:15">
      <c r="A121" t="s">
        <v>69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83</v>
      </c>
      <c r="F121" s="2" t="s">
        <v>21</v>
      </c>
      <c r="G121" t="s">
        <v>19</v>
      </c>
      <c r="H121" t="s">
        <v>25</v>
      </c>
      <c r="I121" t="s">
        <v>23</v>
      </c>
      <c r="J121" t="s">
        <v>26</v>
      </c>
    </row>
    <row r="122" spans="1:15">
      <c r="A122" t="s">
        <v>69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83</v>
      </c>
      <c r="F122" s="2" t="s">
        <v>22</v>
      </c>
      <c r="G122" t="s">
        <v>23</v>
      </c>
      <c r="H122" t="s">
        <v>20</v>
      </c>
      <c r="I122" t="s">
        <v>21</v>
      </c>
      <c r="J122" t="s">
        <v>26</v>
      </c>
    </row>
    <row r="123" spans="1:15">
      <c r="A123" t="s">
        <v>69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83</v>
      </c>
      <c r="F123" s="2" t="s">
        <v>22</v>
      </c>
      <c r="G123" t="s">
        <v>18</v>
      </c>
      <c r="H123" t="s">
        <v>20</v>
      </c>
      <c r="I123" t="s">
        <v>26</v>
      </c>
      <c r="J123" t="s">
        <v>23</v>
      </c>
    </row>
    <row r="124" spans="1:15">
      <c r="A124" t="s">
        <v>69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83</v>
      </c>
      <c r="F124" s="2" t="s">
        <v>23</v>
      </c>
      <c r="G124" t="s">
        <v>20</v>
      </c>
      <c r="H124" t="s">
        <v>17</v>
      </c>
      <c r="I124" t="s">
        <v>19</v>
      </c>
      <c r="J124" t="s">
        <v>22</v>
      </c>
    </row>
    <row r="125" spans="1:15">
      <c r="A125" t="s">
        <v>69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83</v>
      </c>
      <c r="F125" s="2" t="s">
        <v>21</v>
      </c>
      <c r="G125" t="s">
        <v>17</v>
      </c>
      <c r="H125" t="s">
        <v>25</v>
      </c>
      <c r="I125" t="s">
        <v>18</v>
      </c>
      <c r="J125" t="s">
        <v>26</v>
      </c>
    </row>
    <row r="126" spans="1:15">
      <c r="A126" t="s">
        <v>69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83</v>
      </c>
      <c r="F126" s="2" t="s">
        <v>24</v>
      </c>
      <c r="G126" t="s">
        <v>20</v>
      </c>
      <c r="H126" t="s">
        <v>17</v>
      </c>
      <c r="I126" t="s">
        <v>26</v>
      </c>
      <c r="J126" t="s">
        <v>23</v>
      </c>
    </row>
    <row r="127" spans="1:15">
      <c r="A127" t="s">
        <v>69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83</v>
      </c>
      <c r="F127" s="2" t="s">
        <v>18</v>
      </c>
      <c r="G127" t="s">
        <v>19</v>
      </c>
      <c r="H127" t="s">
        <v>25</v>
      </c>
      <c r="I127" t="s">
        <v>17</v>
      </c>
      <c r="J127" t="s">
        <v>21</v>
      </c>
    </row>
    <row r="128" spans="1:15">
      <c r="A128" t="s">
        <v>70</v>
      </c>
      <c r="B128">
        <f>1/4</f>
        <v>0.25</v>
      </c>
      <c r="C128">
        <v>1</v>
      </c>
      <c r="D128">
        <v>1.7</v>
      </c>
      <c r="E128" t="s">
        <v>83</v>
      </c>
      <c r="F128" t="s">
        <v>22</v>
      </c>
      <c r="G128" t="s">
        <v>19</v>
      </c>
      <c r="H128" t="s">
        <v>25</v>
      </c>
      <c r="I128" t="s">
        <v>26</v>
      </c>
      <c r="J128" t="s">
        <v>23</v>
      </c>
      <c r="K128" t="s">
        <v>22</v>
      </c>
      <c r="L128" t="s">
        <v>19</v>
      </c>
      <c r="M128" t="s">
        <v>25</v>
      </c>
      <c r="N128" t="s">
        <v>26</v>
      </c>
      <c r="O128" t="s">
        <v>23</v>
      </c>
    </row>
    <row r="129" spans="1:15">
      <c r="A129" t="s">
        <v>70</v>
      </c>
      <c r="B129">
        <f t="shared" ref="B129:B148" si="5">1/4</f>
        <v>0.25</v>
      </c>
      <c r="C129">
        <v>1</v>
      </c>
      <c r="D129">
        <v>1.6</v>
      </c>
      <c r="E129" t="s">
        <v>83</v>
      </c>
      <c r="F129" t="s">
        <v>21</v>
      </c>
      <c r="G129" t="s">
        <v>24</v>
      </c>
      <c r="H129" t="s">
        <v>17</v>
      </c>
      <c r="I129" t="s">
        <v>22</v>
      </c>
      <c r="J129" t="s">
        <v>18</v>
      </c>
      <c r="K129" t="s">
        <v>21</v>
      </c>
      <c r="L129" t="s">
        <v>24</v>
      </c>
      <c r="M129" t="s">
        <v>17</v>
      </c>
      <c r="N129" t="s">
        <v>22</v>
      </c>
      <c r="O129" t="s">
        <v>18</v>
      </c>
    </row>
    <row r="130" spans="1:15">
      <c r="A130" t="s">
        <v>70</v>
      </c>
      <c r="B130">
        <f t="shared" si="5"/>
        <v>0.25</v>
      </c>
      <c r="C130">
        <v>1</v>
      </c>
      <c r="D130">
        <v>1.5</v>
      </c>
      <c r="E130" t="s">
        <v>83</v>
      </c>
      <c r="F130" t="s">
        <v>26</v>
      </c>
      <c r="G130" t="s">
        <v>20</v>
      </c>
      <c r="H130" t="s">
        <v>23</v>
      </c>
      <c r="I130" t="s">
        <v>21</v>
      </c>
      <c r="J130" t="s">
        <v>22</v>
      </c>
      <c r="K130" t="s">
        <v>26</v>
      </c>
      <c r="L130" t="s">
        <v>20</v>
      </c>
      <c r="M130" t="s">
        <v>23</v>
      </c>
      <c r="N130" t="s">
        <v>21</v>
      </c>
      <c r="O130" t="s">
        <v>22</v>
      </c>
    </row>
    <row r="131" spans="1:15">
      <c r="A131" t="s">
        <v>70</v>
      </c>
      <c r="B131">
        <f t="shared" si="5"/>
        <v>0.25</v>
      </c>
      <c r="C131">
        <v>1</v>
      </c>
      <c r="D131">
        <v>1.4</v>
      </c>
      <c r="E131" t="s">
        <v>83</v>
      </c>
      <c r="F131" t="s">
        <v>18</v>
      </c>
      <c r="G131" t="s">
        <v>21</v>
      </c>
      <c r="H131" t="s">
        <v>23</v>
      </c>
      <c r="I131" t="s">
        <v>20</v>
      </c>
      <c r="J131" t="s">
        <v>26</v>
      </c>
      <c r="K131" t="s">
        <v>18</v>
      </c>
      <c r="L131" t="s">
        <v>21</v>
      </c>
      <c r="M131" t="s">
        <v>23</v>
      </c>
      <c r="N131" t="s">
        <v>20</v>
      </c>
      <c r="O131" t="s">
        <v>26</v>
      </c>
    </row>
    <row r="132" spans="1:15">
      <c r="A132" t="s">
        <v>70</v>
      </c>
      <c r="B132">
        <f t="shared" si="5"/>
        <v>0.25</v>
      </c>
      <c r="C132">
        <v>1</v>
      </c>
      <c r="D132">
        <v>1.3</v>
      </c>
      <c r="E132" t="s">
        <v>83</v>
      </c>
      <c r="F132" t="s">
        <v>23</v>
      </c>
      <c r="G132" t="s">
        <v>25</v>
      </c>
      <c r="H132" t="s">
        <v>17</v>
      </c>
      <c r="I132" t="s">
        <v>22</v>
      </c>
      <c r="J132" t="s">
        <v>21</v>
      </c>
      <c r="K132" t="s">
        <v>23</v>
      </c>
      <c r="L132" t="s">
        <v>25</v>
      </c>
      <c r="M132" t="s">
        <v>17</v>
      </c>
      <c r="N132" t="s">
        <v>22</v>
      </c>
      <c r="O132" t="s">
        <v>21</v>
      </c>
    </row>
    <row r="133" spans="1:15">
      <c r="A133" t="s">
        <v>70</v>
      </c>
      <c r="B133">
        <f t="shared" si="5"/>
        <v>0.25</v>
      </c>
      <c r="C133">
        <v>1</v>
      </c>
      <c r="D133">
        <v>1.2</v>
      </c>
      <c r="E133" t="s">
        <v>83</v>
      </c>
      <c r="F133" t="s">
        <v>18</v>
      </c>
      <c r="G133" t="s">
        <v>25</v>
      </c>
      <c r="H133" t="s">
        <v>26</v>
      </c>
      <c r="I133" t="s">
        <v>17</v>
      </c>
      <c r="J133" t="s">
        <v>24</v>
      </c>
      <c r="K133" t="s">
        <v>18</v>
      </c>
      <c r="L133" t="s">
        <v>25</v>
      </c>
      <c r="M133" t="s">
        <v>26</v>
      </c>
      <c r="N133" t="s">
        <v>17</v>
      </c>
      <c r="O133" t="s">
        <v>24</v>
      </c>
    </row>
    <row r="134" spans="1:15">
      <c r="A134" t="s">
        <v>70</v>
      </c>
      <c r="B134">
        <f t="shared" si="5"/>
        <v>0.25</v>
      </c>
      <c r="C134">
        <v>1</v>
      </c>
      <c r="D134">
        <v>1.1000000000000001</v>
      </c>
      <c r="E134" t="s">
        <v>83</v>
      </c>
      <c r="F134" t="s">
        <v>23</v>
      </c>
      <c r="G134" t="s">
        <v>20</v>
      </c>
      <c r="H134" t="s">
        <v>22</v>
      </c>
      <c r="I134" t="s">
        <v>19</v>
      </c>
      <c r="J134" t="s">
        <v>26</v>
      </c>
      <c r="K134" t="s">
        <v>23</v>
      </c>
      <c r="L134" t="s">
        <v>20</v>
      </c>
      <c r="M134" t="s">
        <v>22</v>
      </c>
      <c r="N134" t="s">
        <v>19</v>
      </c>
      <c r="O134" t="s">
        <v>26</v>
      </c>
    </row>
    <row r="135" spans="1:15">
      <c r="A135" t="s">
        <v>70</v>
      </c>
      <c r="B135">
        <f t="shared" si="5"/>
        <v>0.25</v>
      </c>
      <c r="C135">
        <v>1</v>
      </c>
      <c r="D135">
        <v>1</v>
      </c>
      <c r="E135" t="s">
        <v>83</v>
      </c>
      <c r="F135" t="s">
        <v>24</v>
      </c>
      <c r="G135" t="s">
        <v>23</v>
      </c>
      <c r="H135" t="s">
        <v>19</v>
      </c>
      <c r="I135" t="s">
        <v>20</v>
      </c>
      <c r="J135" t="s">
        <v>18</v>
      </c>
      <c r="K135" t="s">
        <v>24</v>
      </c>
      <c r="L135" t="s">
        <v>23</v>
      </c>
      <c r="M135" t="s">
        <v>19</v>
      </c>
      <c r="N135" t="s">
        <v>20</v>
      </c>
      <c r="O135" t="s">
        <v>18</v>
      </c>
    </row>
    <row r="136" spans="1:15">
      <c r="A136" t="s">
        <v>70</v>
      </c>
      <c r="B136">
        <f t="shared" si="5"/>
        <v>0.25</v>
      </c>
      <c r="C136">
        <v>1</v>
      </c>
      <c r="D136">
        <v>0.90000000000000102</v>
      </c>
      <c r="E136" t="s">
        <v>83</v>
      </c>
      <c r="F136" t="s">
        <v>25</v>
      </c>
      <c r="G136" t="s">
        <v>26</v>
      </c>
      <c r="H136" t="s">
        <v>20</v>
      </c>
      <c r="I136" t="s">
        <v>24</v>
      </c>
      <c r="J136" t="s">
        <v>17</v>
      </c>
      <c r="K136" t="s">
        <v>25</v>
      </c>
      <c r="L136" t="s">
        <v>26</v>
      </c>
      <c r="M136" t="s">
        <v>20</v>
      </c>
      <c r="N136" t="s">
        <v>24</v>
      </c>
      <c r="O136" t="s">
        <v>17</v>
      </c>
    </row>
    <row r="137" spans="1:15">
      <c r="A137" t="s">
        <v>70</v>
      </c>
      <c r="B137">
        <f t="shared" si="5"/>
        <v>0.25</v>
      </c>
      <c r="C137">
        <v>1</v>
      </c>
      <c r="D137">
        <v>0.80000000000000104</v>
      </c>
      <c r="E137" t="s">
        <v>83</v>
      </c>
      <c r="F137" t="s">
        <v>24</v>
      </c>
      <c r="G137" t="s">
        <v>25</v>
      </c>
      <c r="H137" t="s">
        <v>19</v>
      </c>
      <c r="I137" t="s">
        <v>22</v>
      </c>
      <c r="J137" t="s">
        <v>17</v>
      </c>
      <c r="K137" t="s">
        <v>24</v>
      </c>
      <c r="L137" t="s">
        <v>25</v>
      </c>
      <c r="M137" t="s">
        <v>19</v>
      </c>
      <c r="N137" t="s">
        <v>22</v>
      </c>
      <c r="O137" t="s">
        <v>17</v>
      </c>
    </row>
    <row r="138" spans="1:15">
      <c r="A138" t="s">
        <v>70</v>
      </c>
      <c r="B138">
        <f t="shared" si="5"/>
        <v>0.25</v>
      </c>
      <c r="C138">
        <v>1</v>
      </c>
      <c r="D138">
        <v>0.70000000000000095</v>
      </c>
      <c r="E138" t="s">
        <v>83</v>
      </c>
      <c r="F138" t="s">
        <v>18</v>
      </c>
      <c r="G138" t="s">
        <v>25</v>
      </c>
      <c r="H138" t="s">
        <v>17</v>
      </c>
      <c r="I138" t="s">
        <v>19</v>
      </c>
      <c r="J138" t="s">
        <v>21</v>
      </c>
      <c r="K138" t="s">
        <v>18</v>
      </c>
      <c r="L138" t="s">
        <v>25</v>
      </c>
      <c r="M138" t="s">
        <v>17</v>
      </c>
      <c r="N138" t="s">
        <v>19</v>
      </c>
      <c r="O138" t="s">
        <v>21</v>
      </c>
    </row>
    <row r="139" spans="1:15">
      <c r="A139" t="s">
        <v>70</v>
      </c>
      <c r="B139">
        <f t="shared" si="5"/>
        <v>0.25</v>
      </c>
      <c r="C139">
        <v>1</v>
      </c>
      <c r="D139">
        <v>0.6</v>
      </c>
      <c r="E139" t="s">
        <v>83</v>
      </c>
      <c r="F139" t="s">
        <v>24</v>
      </c>
      <c r="G139" t="s">
        <v>21</v>
      </c>
      <c r="H139" t="s">
        <v>23</v>
      </c>
      <c r="I139" t="s">
        <v>26</v>
      </c>
      <c r="J139" t="s">
        <v>25</v>
      </c>
      <c r="K139" t="s">
        <v>24</v>
      </c>
      <c r="L139" t="s">
        <v>21</v>
      </c>
      <c r="M139" t="s">
        <v>23</v>
      </c>
      <c r="N139" t="s">
        <v>26</v>
      </c>
      <c r="O139" t="s">
        <v>25</v>
      </c>
    </row>
    <row r="140" spans="1:15">
      <c r="A140" t="s">
        <v>70</v>
      </c>
      <c r="B140">
        <f t="shared" si="5"/>
        <v>0.25</v>
      </c>
      <c r="C140">
        <v>1</v>
      </c>
      <c r="D140">
        <v>0.5</v>
      </c>
      <c r="E140" t="s">
        <v>83</v>
      </c>
      <c r="F140" t="s">
        <v>25</v>
      </c>
      <c r="G140" t="s">
        <v>26</v>
      </c>
      <c r="H140" t="s">
        <v>21</v>
      </c>
      <c r="I140" t="s">
        <v>23</v>
      </c>
      <c r="J140" t="s">
        <v>19</v>
      </c>
      <c r="K140" t="s">
        <v>25</v>
      </c>
      <c r="L140" t="s">
        <v>26</v>
      </c>
      <c r="M140" t="s">
        <v>21</v>
      </c>
      <c r="N140" t="s">
        <v>23</v>
      </c>
      <c r="O140" t="s">
        <v>19</v>
      </c>
    </row>
    <row r="141" spans="1:15">
      <c r="A141" t="s">
        <v>70</v>
      </c>
      <c r="B141">
        <f t="shared" si="5"/>
        <v>0.25</v>
      </c>
      <c r="C141">
        <v>1</v>
      </c>
      <c r="D141">
        <v>0.4</v>
      </c>
      <c r="E141" t="s">
        <v>83</v>
      </c>
      <c r="F141" t="s">
        <v>26</v>
      </c>
      <c r="G141" t="s">
        <v>18</v>
      </c>
      <c r="H141" t="s">
        <v>17</v>
      </c>
      <c r="I141" t="s">
        <v>24</v>
      </c>
      <c r="J141" t="s">
        <v>19</v>
      </c>
      <c r="K141" t="s">
        <v>26</v>
      </c>
      <c r="M141" t="s">
        <v>17</v>
      </c>
      <c r="O141" t="s">
        <v>19</v>
      </c>
    </row>
    <row r="142" spans="1:15">
      <c r="A142" t="s">
        <v>70</v>
      </c>
      <c r="B142">
        <f t="shared" si="5"/>
        <v>0.25</v>
      </c>
      <c r="C142">
        <v>1</v>
      </c>
      <c r="D142">
        <v>0.3</v>
      </c>
      <c r="E142" t="s">
        <v>83</v>
      </c>
      <c r="F142" t="s">
        <v>17</v>
      </c>
      <c r="G142" t="s">
        <v>21</v>
      </c>
      <c r="H142" t="s">
        <v>23</v>
      </c>
      <c r="I142" t="s">
        <v>20</v>
      </c>
      <c r="J142" t="s">
        <v>18</v>
      </c>
    </row>
    <row r="143" spans="1:15">
      <c r="A143" t="s">
        <v>70</v>
      </c>
      <c r="B143">
        <f t="shared" si="5"/>
        <v>0.25</v>
      </c>
      <c r="C143">
        <v>1</v>
      </c>
      <c r="D143">
        <v>0.2</v>
      </c>
      <c r="E143" t="s">
        <v>83</v>
      </c>
      <c r="F143" t="s">
        <v>18</v>
      </c>
      <c r="G143" t="s">
        <v>19</v>
      </c>
      <c r="H143" t="s">
        <v>22</v>
      </c>
      <c r="I143" t="s">
        <v>26</v>
      </c>
      <c r="J143" t="s">
        <v>20</v>
      </c>
    </row>
    <row r="144" spans="1:15">
      <c r="A144" t="s">
        <v>70</v>
      </c>
      <c r="B144">
        <f t="shared" si="5"/>
        <v>0.25</v>
      </c>
      <c r="C144">
        <v>1</v>
      </c>
      <c r="D144">
        <v>9.9999999999999895E-2</v>
      </c>
      <c r="E144" t="s">
        <v>83</v>
      </c>
      <c r="F144" t="s">
        <v>17</v>
      </c>
      <c r="G144" t="s">
        <v>26</v>
      </c>
      <c r="H144" t="s">
        <v>20</v>
      </c>
      <c r="I144" t="s">
        <v>25</v>
      </c>
      <c r="J144" t="s">
        <v>19</v>
      </c>
    </row>
    <row r="145" spans="1:15">
      <c r="A145" t="s">
        <v>70</v>
      </c>
      <c r="B145">
        <f t="shared" si="5"/>
        <v>0.25</v>
      </c>
      <c r="C145">
        <v>1</v>
      </c>
      <c r="D145">
        <v>0</v>
      </c>
      <c r="E145" t="s">
        <v>83</v>
      </c>
      <c r="F145" t="s">
        <v>18</v>
      </c>
      <c r="G145" t="s">
        <v>22</v>
      </c>
      <c r="H145" t="s">
        <v>19</v>
      </c>
      <c r="I145" t="s">
        <v>26</v>
      </c>
      <c r="J145" t="s">
        <v>17</v>
      </c>
    </row>
    <row r="146" spans="1:15">
      <c r="A146" t="s">
        <v>70</v>
      </c>
      <c r="B146">
        <f t="shared" si="5"/>
        <v>0.25</v>
      </c>
      <c r="C146">
        <v>1</v>
      </c>
      <c r="D146">
        <v>-0.1</v>
      </c>
      <c r="E146" t="s">
        <v>83</v>
      </c>
      <c r="F146" t="s">
        <v>21</v>
      </c>
      <c r="G146" t="s">
        <v>26</v>
      </c>
      <c r="H146" t="s">
        <v>19</v>
      </c>
      <c r="I146" t="s">
        <v>24</v>
      </c>
      <c r="J146" t="s">
        <v>25</v>
      </c>
    </row>
    <row r="147" spans="1:15">
      <c r="A147" t="s">
        <v>70</v>
      </c>
      <c r="B147">
        <f t="shared" si="5"/>
        <v>0.25</v>
      </c>
      <c r="C147">
        <v>1</v>
      </c>
      <c r="D147">
        <v>-0.2</v>
      </c>
      <c r="E147" t="s">
        <v>83</v>
      </c>
      <c r="F147" t="s">
        <v>24</v>
      </c>
      <c r="G147" t="s">
        <v>22</v>
      </c>
      <c r="H147" t="s">
        <v>19</v>
      </c>
      <c r="I147" t="s">
        <v>23</v>
      </c>
      <c r="J147" t="s">
        <v>20</v>
      </c>
    </row>
    <row r="148" spans="1:15">
      <c r="A148" t="s">
        <v>70</v>
      </c>
      <c r="B148">
        <f t="shared" si="5"/>
        <v>0.25</v>
      </c>
      <c r="C148">
        <v>1</v>
      </c>
      <c r="D148">
        <v>-0.3</v>
      </c>
      <c r="E148" t="s">
        <v>83</v>
      </c>
      <c r="F148" t="s">
        <v>20</v>
      </c>
      <c r="G148" t="s">
        <v>26</v>
      </c>
      <c r="H148" t="s">
        <v>17</v>
      </c>
      <c r="I148" t="s">
        <v>23</v>
      </c>
      <c r="J148" t="s">
        <v>24</v>
      </c>
    </row>
    <row r="149" spans="1:15">
      <c r="A149" t="s">
        <v>71</v>
      </c>
      <c r="B149">
        <f>1/7.49</f>
        <v>0.13351134846461948</v>
      </c>
      <c r="C149">
        <f>4/7.49</f>
        <v>0.53404539385847793</v>
      </c>
      <c r="D149">
        <v>1.7</v>
      </c>
      <c r="E149" t="s">
        <v>83</v>
      </c>
      <c r="F149" t="s">
        <v>23</v>
      </c>
      <c r="G149" t="s">
        <v>21</v>
      </c>
      <c r="H149" t="s">
        <v>20</v>
      </c>
      <c r="I149" t="s">
        <v>17</v>
      </c>
      <c r="J149" t="s">
        <v>18</v>
      </c>
      <c r="K149" t="s">
        <v>23</v>
      </c>
      <c r="L149" t="s">
        <v>21</v>
      </c>
      <c r="M149" t="s">
        <v>20</v>
      </c>
      <c r="N149" t="s">
        <v>17</v>
      </c>
      <c r="O149" t="s">
        <v>18</v>
      </c>
    </row>
    <row r="150" spans="1:15">
      <c r="A150" t="s">
        <v>71</v>
      </c>
      <c r="B150">
        <f t="shared" ref="B150:B169" si="6">1/7.49</f>
        <v>0.13351134846461948</v>
      </c>
      <c r="C150">
        <f t="shared" ref="C150:C169" si="7">4/7.49</f>
        <v>0.53404539385847793</v>
      </c>
      <c r="D150">
        <v>1.6</v>
      </c>
      <c r="E150" t="s">
        <v>83</v>
      </c>
      <c r="F150" t="s">
        <v>24</v>
      </c>
      <c r="G150" t="s">
        <v>21</v>
      </c>
      <c r="H150" t="s">
        <v>25</v>
      </c>
      <c r="I150" t="s">
        <v>23</v>
      </c>
      <c r="J150" t="s">
        <v>26</v>
      </c>
      <c r="K150" t="s">
        <v>24</v>
      </c>
      <c r="L150" t="s">
        <v>21</v>
      </c>
      <c r="M150" t="s">
        <v>25</v>
      </c>
      <c r="N150" t="s">
        <v>23</v>
      </c>
      <c r="O150" t="s">
        <v>26</v>
      </c>
    </row>
    <row r="151" spans="1:15">
      <c r="A151" t="s">
        <v>71</v>
      </c>
      <c r="B151">
        <f t="shared" si="6"/>
        <v>0.13351134846461948</v>
      </c>
      <c r="C151">
        <f t="shared" si="7"/>
        <v>0.53404539385847793</v>
      </c>
      <c r="D151">
        <v>1.5</v>
      </c>
      <c r="E151" t="s">
        <v>83</v>
      </c>
      <c r="F151" t="s">
        <v>24</v>
      </c>
      <c r="G151" t="s">
        <v>22</v>
      </c>
      <c r="H151" t="s">
        <v>19</v>
      </c>
      <c r="I151" t="s">
        <v>23</v>
      </c>
      <c r="J151" t="s">
        <v>17</v>
      </c>
      <c r="K151" t="s">
        <v>24</v>
      </c>
      <c r="L151" t="s">
        <v>22</v>
      </c>
      <c r="M151" t="s">
        <v>19</v>
      </c>
      <c r="N151" t="s">
        <v>23</v>
      </c>
      <c r="O151" t="s">
        <v>17</v>
      </c>
    </row>
    <row r="152" spans="1:15">
      <c r="A152" t="s">
        <v>71</v>
      </c>
      <c r="B152">
        <f t="shared" si="6"/>
        <v>0.13351134846461948</v>
      </c>
      <c r="C152">
        <f t="shared" si="7"/>
        <v>0.53404539385847793</v>
      </c>
      <c r="D152">
        <v>1.4</v>
      </c>
      <c r="E152" t="s">
        <v>83</v>
      </c>
      <c r="F152" t="s">
        <v>21</v>
      </c>
      <c r="G152" t="s">
        <v>26</v>
      </c>
      <c r="H152" t="s">
        <v>20</v>
      </c>
      <c r="I152" t="s">
        <v>24</v>
      </c>
      <c r="J152" t="s">
        <v>19</v>
      </c>
      <c r="K152" t="s">
        <v>21</v>
      </c>
      <c r="L152" t="s">
        <v>26</v>
      </c>
      <c r="M152" t="s">
        <v>20</v>
      </c>
      <c r="N152" t="s">
        <v>24</v>
      </c>
      <c r="O152" t="s">
        <v>19</v>
      </c>
    </row>
    <row r="153" spans="1:15">
      <c r="A153" t="s">
        <v>71</v>
      </c>
      <c r="B153">
        <f t="shared" si="6"/>
        <v>0.13351134846461948</v>
      </c>
      <c r="C153">
        <f t="shared" si="7"/>
        <v>0.53404539385847793</v>
      </c>
      <c r="D153">
        <v>1.3</v>
      </c>
      <c r="E153" t="s">
        <v>83</v>
      </c>
      <c r="F153" t="s">
        <v>18</v>
      </c>
      <c r="G153" t="s">
        <v>23</v>
      </c>
      <c r="H153" t="s">
        <v>19</v>
      </c>
      <c r="I153" t="s">
        <v>24</v>
      </c>
      <c r="J153" t="s">
        <v>17</v>
      </c>
      <c r="K153" t="s">
        <v>18</v>
      </c>
      <c r="L153" t="s">
        <v>23</v>
      </c>
      <c r="M153" t="s">
        <v>19</v>
      </c>
      <c r="N153" t="s">
        <v>24</v>
      </c>
      <c r="O153" t="s">
        <v>17</v>
      </c>
    </row>
    <row r="154" spans="1:15">
      <c r="A154" t="s">
        <v>71</v>
      </c>
      <c r="B154">
        <f t="shared" si="6"/>
        <v>0.13351134846461948</v>
      </c>
      <c r="C154">
        <f t="shared" si="7"/>
        <v>0.53404539385847793</v>
      </c>
      <c r="D154">
        <v>1.2</v>
      </c>
      <c r="E154" t="s">
        <v>83</v>
      </c>
      <c r="F154" t="s">
        <v>24</v>
      </c>
      <c r="G154" t="s">
        <v>20</v>
      </c>
      <c r="H154" t="s">
        <v>25</v>
      </c>
      <c r="I154" t="s">
        <v>21</v>
      </c>
      <c r="J154" t="s">
        <v>17</v>
      </c>
      <c r="K154" t="s">
        <v>24</v>
      </c>
      <c r="L154" t="s">
        <v>20</v>
      </c>
      <c r="M154" t="s">
        <v>25</v>
      </c>
      <c r="N154" t="s">
        <v>21</v>
      </c>
      <c r="O154" t="s">
        <v>17</v>
      </c>
    </row>
    <row r="155" spans="1:15">
      <c r="A155" t="s">
        <v>71</v>
      </c>
      <c r="B155">
        <f t="shared" si="6"/>
        <v>0.13351134846461948</v>
      </c>
      <c r="C155">
        <f t="shared" si="7"/>
        <v>0.53404539385847793</v>
      </c>
      <c r="D155">
        <v>1.1000000000000001</v>
      </c>
      <c r="E155" t="s">
        <v>83</v>
      </c>
      <c r="F155" t="s">
        <v>19</v>
      </c>
      <c r="G155" t="s">
        <v>22</v>
      </c>
      <c r="H155" t="s">
        <v>17</v>
      </c>
      <c r="I155" t="s">
        <v>26</v>
      </c>
      <c r="J155" t="s">
        <v>25</v>
      </c>
      <c r="K155" t="s">
        <v>19</v>
      </c>
      <c r="L155" t="s">
        <v>22</v>
      </c>
      <c r="M155" t="s">
        <v>17</v>
      </c>
      <c r="N155" t="s">
        <v>26</v>
      </c>
      <c r="O155" t="s">
        <v>25</v>
      </c>
    </row>
    <row r="156" spans="1:15">
      <c r="A156" t="s">
        <v>71</v>
      </c>
      <c r="B156">
        <f t="shared" si="6"/>
        <v>0.13351134846461948</v>
      </c>
      <c r="C156">
        <f t="shared" si="7"/>
        <v>0.53404539385847793</v>
      </c>
      <c r="D156">
        <v>1</v>
      </c>
      <c r="E156" t="s">
        <v>83</v>
      </c>
      <c r="F156" t="s">
        <v>18</v>
      </c>
      <c r="G156" t="s">
        <v>24</v>
      </c>
      <c r="H156" t="s">
        <v>26</v>
      </c>
      <c r="I156" t="s">
        <v>21</v>
      </c>
      <c r="J156" t="s">
        <v>22</v>
      </c>
      <c r="K156" t="s">
        <v>18</v>
      </c>
      <c r="L156" t="s">
        <v>24</v>
      </c>
      <c r="M156" t="s">
        <v>26</v>
      </c>
      <c r="N156" t="s">
        <v>21</v>
      </c>
      <c r="O156" t="s">
        <v>22</v>
      </c>
    </row>
    <row r="157" spans="1:15">
      <c r="A157" t="s">
        <v>71</v>
      </c>
      <c r="B157">
        <f t="shared" si="6"/>
        <v>0.13351134846461948</v>
      </c>
      <c r="C157">
        <f t="shared" si="7"/>
        <v>0.53404539385847793</v>
      </c>
      <c r="D157">
        <v>0.90000000000000102</v>
      </c>
      <c r="E157" t="s">
        <v>83</v>
      </c>
      <c r="F157" t="s">
        <v>22</v>
      </c>
      <c r="G157" t="s">
        <v>24</v>
      </c>
      <c r="H157" t="s">
        <v>17</v>
      </c>
      <c r="I157" t="s">
        <v>18</v>
      </c>
      <c r="J157" t="s">
        <v>19</v>
      </c>
      <c r="K157" t="s">
        <v>22</v>
      </c>
      <c r="L157" t="s">
        <v>24</v>
      </c>
      <c r="M157" t="s">
        <v>17</v>
      </c>
      <c r="N157" t="s">
        <v>18</v>
      </c>
      <c r="O157" t="s">
        <v>19</v>
      </c>
    </row>
    <row r="158" spans="1:15">
      <c r="A158" t="s">
        <v>71</v>
      </c>
      <c r="B158">
        <f t="shared" si="6"/>
        <v>0.13351134846461948</v>
      </c>
      <c r="C158">
        <f t="shared" si="7"/>
        <v>0.53404539385847793</v>
      </c>
      <c r="D158">
        <v>0.80000000000000104</v>
      </c>
      <c r="E158" t="s">
        <v>83</v>
      </c>
      <c r="F158" t="s">
        <v>24</v>
      </c>
      <c r="G158" t="s">
        <v>23</v>
      </c>
      <c r="H158" t="s">
        <v>20</v>
      </c>
      <c r="I158" t="s">
        <v>25</v>
      </c>
      <c r="J158" t="s">
        <v>17</v>
      </c>
      <c r="K158" t="s">
        <v>24</v>
      </c>
      <c r="L158" t="s">
        <v>23</v>
      </c>
      <c r="M158" t="s">
        <v>20</v>
      </c>
      <c r="N158" t="s">
        <v>25</v>
      </c>
      <c r="O158" t="s">
        <v>17</v>
      </c>
    </row>
    <row r="159" spans="1:15">
      <c r="A159" t="s">
        <v>71</v>
      </c>
      <c r="B159">
        <f t="shared" si="6"/>
        <v>0.13351134846461948</v>
      </c>
      <c r="C159">
        <f t="shared" si="7"/>
        <v>0.53404539385847793</v>
      </c>
      <c r="D159">
        <v>0.70000000000000095</v>
      </c>
      <c r="E159" t="s">
        <v>83</v>
      </c>
      <c r="F159" t="s">
        <v>25</v>
      </c>
      <c r="G159" t="s">
        <v>19</v>
      </c>
      <c r="H159" t="s">
        <v>23</v>
      </c>
      <c r="I159" t="s">
        <v>21</v>
      </c>
      <c r="J159" t="s">
        <v>24</v>
      </c>
      <c r="K159" t="s">
        <v>25</v>
      </c>
      <c r="L159" t="s">
        <v>19</v>
      </c>
      <c r="M159" t="s">
        <v>23</v>
      </c>
      <c r="N159" t="s">
        <v>21</v>
      </c>
      <c r="O159" t="s">
        <v>24</v>
      </c>
    </row>
    <row r="160" spans="1:15">
      <c r="A160" t="s">
        <v>71</v>
      </c>
      <c r="B160">
        <f t="shared" si="6"/>
        <v>0.13351134846461948</v>
      </c>
      <c r="C160">
        <f t="shared" si="7"/>
        <v>0.53404539385847793</v>
      </c>
      <c r="D160">
        <v>0.6</v>
      </c>
      <c r="E160" t="s">
        <v>83</v>
      </c>
      <c r="F160" t="s">
        <v>21</v>
      </c>
      <c r="G160" t="s">
        <v>17</v>
      </c>
      <c r="H160" t="s">
        <v>22</v>
      </c>
      <c r="I160" t="s">
        <v>26</v>
      </c>
      <c r="J160" t="s">
        <v>18</v>
      </c>
      <c r="K160" t="s">
        <v>21</v>
      </c>
      <c r="L160" t="s">
        <v>17</v>
      </c>
      <c r="M160" t="s">
        <v>22</v>
      </c>
      <c r="N160" t="s">
        <v>26</v>
      </c>
    </row>
    <row r="161" spans="1:15">
      <c r="A161" t="s">
        <v>71</v>
      </c>
      <c r="B161">
        <f t="shared" si="6"/>
        <v>0.13351134846461948</v>
      </c>
      <c r="C161">
        <f t="shared" si="7"/>
        <v>0.53404539385847793</v>
      </c>
      <c r="D161">
        <v>0.5</v>
      </c>
      <c r="E161" t="s">
        <v>83</v>
      </c>
      <c r="F161" t="s">
        <v>25</v>
      </c>
      <c r="G161" t="s">
        <v>26</v>
      </c>
      <c r="H161" t="s">
        <v>17</v>
      </c>
      <c r="I161" t="s">
        <v>20</v>
      </c>
      <c r="J161" t="s">
        <v>23</v>
      </c>
    </row>
    <row r="162" spans="1:15">
      <c r="A162" t="s">
        <v>71</v>
      </c>
      <c r="B162">
        <f t="shared" si="6"/>
        <v>0.13351134846461948</v>
      </c>
      <c r="C162">
        <f t="shared" si="7"/>
        <v>0.53404539385847793</v>
      </c>
      <c r="D162">
        <v>0.4</v>
      </c>
      <c r="E162" t="s">
        <v>83</v>
      </c>
      <c r="F162" t="s">
        <v>22</v>
      </c>
      <c r="G162" t="s">
        <v>21</v>
      </c>
      <c r="H162" t="s">
        <v>25</v>
      </c>
      <c r="I162" t="s">
        <v>24</v>
      </c>
      <c r="J162" t="s">
        <v>19</v>
      </c>
    </row>
    <row r="163" spans="1:15">
      <c r="A163" t="s">
        <v>71</v>
      </c>
      <c r="B163">
        <f t="shared" si="6"/>
        <v>0.13351134846461948</v>
      </c>
      <c r="C163">
        <f t="shared" si="7"/>
        <v>0.53404539385847793</v>
      </c>
      <c r="D163">
        <v>0.3</v>
      </c>
      <c r="E163" t="s">
        <v>83</v>
      </c>
      <c r="F163" t="s">
        <v>23</v>
      </c>
      <c r="G163" t="s">
        <v>22</v>
      </c>
      <c r="H163" t="s">
        <v>24</v>
      </c>
      <c r="I163" t="s">
        <v>21</v>
      </c>
      <c r="J163" t="s">
        <v>19</v>
      </c>
    </row>
    <row r="164" spans="1:15">
      <c r="A164" t="s">
        <v>71</v>
      </c>
      <c r="B164">
        <f t="shared" si="6"/>
        <v>0.13351134846461948</v>
      </c>
      <c r="C164">
        <f t="shared" si="7"/>
        <v>0.53404539385847793</v>
      </c>
      <c r="D164">
        <v>0.2</v>
      </c>
      <c r="E164" t="s">
        <v>83</v>
      </c>
      <c r="F164" t="s">
        <v>24</v>
      </c>
      <c r="G164" t="s">
        <v>22</v>
      </c>
      <c r="H164" t="s">
        <v>21</v>
      </c>
      <c r="I164" t="s">
        <v>26</v>
      </c>
      <c r="J164" t="s">
        <v>25</v>
      </c>
    </row>
    <row r="165" spans="1:15">
      <c r="A165" t="s">
        <v>71</v>
      </c>
      <c r="B165">
        <f t="shared" si="6"/>
        <v>0.13351134846461948</v>
      </c>
      <c r="C165">
        <f t="shared" si="7"/>
        <v>0.53404539385847793</v>
      </c>
      <c r="D165">
        <v>9.9999999999999895E-2</v>
      </c>
      <c r="E165" t="s">
        <v>83</v>
      </c>
      <c r="F165" t="s">
        <v>26</v>
      </c>
      <c r="G165" t="s">
        <v>19</v>
      </c>
      <c r="H165" t="s">
        <v>23</v>
      </c>
      <c r="I165" t="s">
        <v>17</v>
      </c>
      <c r="J165" t="s">
        <v>24</v>
      </c>
    </row>
    <row r="166" spans="1:15">
      <c r="A166" t="s">
        <v>71</v>
      </c>
      <c r="B166">
        <f t="shared" si="6"/>
        <v>0.13351134846461948</v>
      </c>
      <c r="C166">
        <f t="shared" si="7"/>
        <v>0.53404539385847793</v>
      </c>
      <c r="D166">
        <v>0</v>
      </c>
      <c r="E166" t="s">
        <v>83</v>
      </c>
      <c r="F166" t="s">
        <v>18</v>
      </c>
      <c r="G166" t="s">
        <v>24</v>
      </c>
      <c r="H166" t="s">
        <v>21</v>
      </c>
      <c r="I166" t="s">
        <v>23</v>
      </c>
      <c r="J166" t="s">
        <v>22</v>
      </c>
    </row>
    <row r="167" spans="1:15">
      <c r="A167" t="s">
        <v>71</v>
      </c>
      <c r="B167">
        <f t="shared" si="6"/>
        <v>0.13351134846461948</v>
      </c>
      <c r="C167">
        <f t="shared" si="7"/>
        <v>0.53404539385847793</v>
      </c>
      <c r="D167">
        <v>-0.1</v>
      </c>
      <c r="E167" t="s">
        <v>83</v>
      </c>
      <c r="F167" t="s">
        <v>24</v>
      </c>
      <c r="G167" t="s">
        <v>22</v>
      </c>
      <c r="H167" t="s">
        <v>26</v>
      </c>
      <c r="I167" t="s">
        <v>17</v>
      </c>
      <c r="J167" t="s">
        <v>25</v>
      </c>
    </row>
    <row r="168" spans="1:15">
      <c r="A168" t="s">
        <v>71</v>
      </c>
      <c r="B168">
        <f t="shared" si="6"/>
        <v>0.13351134846461948</v>
      </c>
      <c r="C168">
        <f t="shared" si="7"/>
        <v>0.53404539385847793</v>
      </c>
      <c r="D168">
        <v>-0.2</v>
      </c>
      <c r="E168" t="s">
        <v>83</v>
      </c>
      <c r="F168" t="s">
        <v>17</v>
      </c>
      <c r="G168" t="s">
        <v>22</v>
      </c>
      <c r="H168" t="s">
        <v>26</v>
      </c>
      <c r="I168" t="s">
        <v>19</v>
      </c>
      <c r="J168" t="s">
        <v>24</v>
      </c>
    </row>
    <row r="169" spans="1:15">
      <c r="A169" t="s">
        <v>71</v>
      </c>
      <c r="B169">
        <f t="shared" si="6"/>
        <v>0.13351134846461948</v>
      </c>
      <c r="C169">
        <f t="shared" si="7"/>
        <v>0.53404539385847793</v>
      </c>
      <c r="D169">
        <v>-0.3</v>
      </c>
      <c r="E169" t="s">
        <v>83</v>
      </c>
      <c r="F169" t="s">
        <v>18</v>
      </c>
      <c r="G169" t="s">
        <v>24</v>
      </c>
      <c r="H169" t="s">
        <v>21</v>
      </c>
      <c r="I169" t="s">
        <v>22</v>
      </c>
      <c r="J169" t="s">
        <v>17</v>
      </c>
    </row>
    <row r="170" spans="1:15">
      <c r="A170" t="s">
        <v>72</v>
      </c>
      <c r="B170">
        <f>1/13.92</f>
        <v>7.183908045977011E-2</v>
      </c>
      <c r="C170">
        <f>4/13.92</f>
        <v>0.28735632183908044</v>
      </c>
      <c r="D170">
        <v>1.7</v>
      </c>
      <c r="E170" t="s">
        <v>83</v>
      </c>
      <c r="F170" t="s">
        <v>20</v>
      </c>
      <c r="G170" t="s">
        <v>18</v>
      </c>
      <c r="H170" t="s">
        <v>25</v>
      </c>
      <c r="I170" t="s">
        <v>22</v>
      </c>
      <c r="J170" t="s">
        <v>21</v>
      </c>
      <c r="K170" t="s">
        <v>20</v>
      </c>
      <c r="L170" t="s">
        <v>18</v>
      </c>
      <c r="M170" t="s">
        <v>25</v>
      </c>
      <c r="N170" t="s">
        <v>22</v>
      </c>
      <c r="O170" t="s">
        <v>21</v>
      </c>
    </row>
    <row r="171" spans="1:15">
      <c r="A171" t="s">
        <v>72</v>
      </c>
      <c r="B171">
        <f t="shared" ref="B171:B190" si="8">1/13.92</f>
        <v>7.183908045977011E-2</v>
      </c>
      <c r="C171">
        <f t="shared" ref="C171:C190" si="9">4/13.92</f>
        <v>0.28735632183908044</v>
      </c>
      <c r="D171">
        <v>1.6</v>
      </c>
      <c r="E171" t="s">
        <v>83</v>
      </c>
      <c r="F171" t="s">
        <v>26</v>
      </c>
      <c r="G171" t="s">
        <v>19</v>
      </c>
      <c r="H171" t="s">
        <v>23</v>
      </c>
      <c r="I171" t="s">
        <v>20</v>
      </c>
      <c r="J171" t="s">
        <v>25</v>
      </c>
      <c r="K171" t="s">
        <v>26</v>
      </c>
      <c r="L171" t="s">
        <v>19</v>
      </c>
      <c r="M171" t="s">
        <v>23</v>
      </c>
      <c r="N171" t="s">
        <v>20</v>
      </c>
      <c r="O171" t="s">
        <v>25</v>
      </c>
    </row>
    <row r="172" spans="1:15">
      <c r="A172" t="s">
        <v>72</v>
      </c>
      <c r="B172">
        <f t="shared" si="8"/>
        <v>7.183908045977011E-2</v>
      </c>
      <c r="C172">
        <f t="shared" si="9"/>
        <v>0.28735632183908044</v>
      </c>
      <c r="D172">
        <v>1.5</v>
      </c>
      <c r="E172" t="s">
        <v>83</v>
      </c>
      <c r="F172" t="s">
        <v>22</v>
      </c>
      <c r="G172" t="s">
        <v>18</v>
      </c>
      <c r="H172" t="s">
        <v>20</v>
      </c>
      <c r="I172" t="s">
        <v>23</v>
      </c>
      <c r="J172" t="s">
        <v>17</v>
      </c>
      <c r="K172" t="s">
        <v>22</v>
      </c>
      <c r="L172" t="s">
        <v>18</v>
      </c>
      <c r="M172" t="s">
        <v>20</v>
      </c>
      <c r="N172" t="s">
        <v>23</v>
      </c>
      <c r="O172" t="s">
        <v>17</v>
      </c>
    </row>
    <row r="173" spans="1:15">
      <c r="A173" t="s">
        <v>72</v>
      </c>
      <c r="B173">
        <f t="shared" si="8"/>
        <v>7.183908045977011E-2</v>
      </c>
      <c r="C173">
        <f t="shared" si="9"/>
        <v>0.28735632183908044</v>
      </c>
      <c r="D173">
        <v>1.4</v>
      </c>
      <c r="E173" t="s">
        <v>83</v>
      </c>
      <c r="F173" t="s">
        <v>26</v>
      </c>
      <c r="G173" t="s">
        <v>18</v>
      </c>
      <c r="H173" t="s">
        <v>22</v>
      </c>
      <c r="I173" t="s">
        <v>24</v>
      </c>
      <c r="J173" t="s">
        <v>19</v>
      </c>
      <c r="K173" t="s">
        <v>26</v>
      </c>
      <c r="L173" t="s">
        <v>18</v>
      </c>
      <c r="M173" t="s">
        <v>22</v>
      </c>
      <c r="N173" t="s">
        <v>24</v>
      </c>
      <c r="O173" t="s">
        <v>19</v>
      </c>
    </row>
    <row r="174" spans="1:15">
      <c r="A174" t="s">
        <v>72</v>
      </c>
      <c r="B174">
        <f t="shared" si="8"/>
        <v>7.183908045977011E-2</v>
      </c>
      <c r="C174">
        <f t="shared" si="9"/>
        <v>0.28735632183908044</v>
      </c>
      <c r="D174">
        <v>1.3</v>
      </c>
      <c r="E174" t="s">
        <v>83</v>
      </c>
      <c r="F174" t="s">
        <v>22</v>
      </c>
      <c r="G174" t="s">
        <v>17</v>
      </c>
      <c r="H174" t="s">
        <v>25</v>
      </c>
      <c r="I174" t="s">
        <v>23</v>
      </c>
      <c r="J174" t="s">
        <v>19</v>
      </c>
      <c r="K174" t="s">
        <v>22</v>
      </c>
      <c r="L174" t="s">
        <v>17</v>
      </c>
      <c r="M174" t="s">
        <v>25</v>
      </c>
      <c r="N174" t="s">
        <v>23</v>
      </c>
      <c r="O174" t="s">
        <v>19</v>
      </c>
    </row>
    <row r="175" spans="1:15">
      <c r="A175" t="s">
        <v>72</v>
      </c>
      <c r="B175">
        <f t="shared" si="8"/>
        <v>7.183908045977011E-2</v>
      </c>
      <c r="C175">
        <f t="shared" si="9"/>
        <v>0.28735632183908044</v>
      </c>
      <c r="D175">
        <v>1.2</v>
      </c>
      <c r="E175" t="s">
        <v>83</v>
      </c>
      <c r="F175" t="s">
        <v>23</v>
      </c>
      <c r="G175" t="s">
        <v>17</v>
      </c>
      <c r="H175" t="s">
        <v>22</v>
      </c>
      <c r="I175" t="s">
        <v>18</v>
      </c>
      <c r="J175" t="s">
        <v>26</v>
      </c>
      <c r="K175" t="s">
        <v>23</v>
      </c>
      <c r="L175" t="s">
        <v>17</v>
      </c>
      <c r="M175" t="s">
        <v>22</v>
      </c>
      <c r="N175" t="s">
        <v>18</v>
      </c>
      <c r="O175" t="s">
        <v>26</v>
      </c>
    </row>
    <row r="176" spans="1:15">
      <c r="A176" t="s">
        <v>72</v>
      </c>
      <c r="B176">
        <f t="shared" si="8"/>
        <v>7.183908045977011E-2</v>
      </c>
      <c r="C176">
        <f t="shared" si="9"/>
        <v>0.28735632183908044</v>
      </c>
      <c r="D176">
        <v>1.1000000000000001</v>
      </c>
      <c r="E176" t="s">
        <v>83</v>
      </c>
      <c r="F176" t="s">
        <v>23</v>
      </c>
      <c r="G176" t="s">
        <v>22</v>
      </c>
      <c r="H176" t="s">
        <v>24</v>
      </c>
      <c r="I176" t="s">
        <v>26</v>
      </c>
      <c r="J176" t="s">
        <v>17</v>
      </c>
      <c r="K176" t="s">
        <v>23</v>
      </c>
      <c r="L176" t="s">
        <v>22</v>
      </c>
      <c r="M176" t="s">
        <v>24</v>
      </c>
      <c r="N176" t="s">
        <v>26</v>
      </c>
      <c r="O176" t="s">
        <v>17</v>
      </c>
    </row>
    <row r="177" spans="1:15">
      <c r="A177" t="s">
        <v>72</v>
      </c>
      <c r="B177">
        <f t="shared" si="8"/>
        <v>7.183908045977011E-2</v>
      </c>
      <c r="C177">
        <f t="shared" si="9"/>
        <v>0.28735632183908044</v>
      </c>
      <c r="D177">
        <v>1</v>
      </c>
      <c r="E177" t="s">
        <v>83</v>
      </c>
      <c r="F177" t="s">
        <v>24</v>
      </c>
      <c r="G177" t="s">
        <v>21</v>
      </c>
      <c r="H177" t="s">
        <v>20</v>
      </c>
      <c r="I177" t="s">
        <v>18</v>
      </c>
      <c r="J177" t="s">
        <v>26</v>
      </c>
      <c r="K177" t="s">
        <v>24</v>
      </c>
      <c r="L177" t="s">
        <v>21</v>
      </c>
      <c r="M177" t="s">
        <v>20</v>
      </c>
      <c r="N177" t="s">
        <v>18</v>
      </c>
      <c r="O177" t="s">
        <v>26</v>
      </c>
    </row>
    <row r="178" spans="1:15">
      <c r="A178" t="s">
        <v>72</v>
      </c>
      <c r="B178">
        <f t="shared" si="8"/>
        <v>7.183908045977011E-2</v>
      </c>
      <c r="C178">
        <f t="shared" si="9"/>
        <v>0.28735632183908044</v>
      </c>
      <c r="D178">
        <v>0.90000000000000102</v>
      </c>
      <c r="E178" t="s">
        <v>83</v>
      </c>
      <c r="F178" t="s">
        <v>18</v>
      </c>
      <c r="G178" t="s">
        <v>17</v>
      </c>
      <c r="H178" t="s">
        <v>19</v>
      </c>
      <c r="I178" t="s">
        <v>20</v>
      </c>
      <c r="J178" t="s">
        <v>23</v>
      </c>
      <c r="L178" t="s">
        <v>17</v>
      </c>
    </row>
    <row r="179" spans="1:15">
      <c r="A179" t="s">
        <v>72</v>
      </c>
      <c r="B179">
        <f t="shared" si="8"/>
        <v>7.183908045977011E-2</v>
      </c>
      <c r="C179">
        <f t="shared" si="9"/>
        <v>0.28735632183908044</v>
      </c>
      <c r="D179">
        <v>0.80000000000000104</v>
      </c>
      <c r="E179" t="s">
        <v>83</v>
      </c>
      <c r="F179" t="s">
        <v>18</v>
      </c>
      <c r="G179" t="s">
        <v>24</v>
      </c>
      <c r="H179" t="s">
        <v>22</v>
      </c>
      <c r="I179" t="s">
        <v>25</v>
      </c>
      <c r="J179" t="s">
        <v>26</v>
      </c>
    </row>
    <row r="180" spans="1:15">
      <c r="A180" t="s">
        <v>72</v>
      </c>
      <c r="B180">
        <f t="shared" si="8"/>
        <v>7.183908045977011E-2</v>
      </c>
      <c r="C180">
        <f t="shared" si="9"/>
        <v>0.28735632183908044</v>
      </c>
      <c r="D180">
        <v>0.70000000000000095</v>
      </c>
      <c r="E180" t="s">
        <v>83</v>
      </c>
      <c r="F180" t="s">
        <v>22</v>
      </c>
      <c r="G180" t="s">
        <v>19</v>
      </c>
      <c r="H180" t="s">
        <v>23</v>
      </c>
      <c r="I180" t="s">
        <v>25</v>
      </c>
      <c r="J180" t="s">
        <v>17</v>
      </c>
    </row>
    <row r="181" spans="1:15">
      <c r="A181" t="s">
        <v>72</v>
      </c>
      <c r="B181">
        <f t="shared" si="8"/>
        <v>7.183908045977011E-2</v>
      </c>
      <c r="C181">
        <f t="shared" si="9"/>
        <v>0.28735632183908044</v>
      </c>
      <c r="D181">
        <v>0.6</v>
      </c>
      <c r="E181" t="s">
        <v>83</v>
      </c>
      <c r="F181" t="s">
        <v>19</v>
      </c>
      <c r="G181" t="s">
        <v>21</v>
      </c>
      <c r="H181" t="s">
        <v>22</v>
      </c>
      <c r="I181" t="s">
        <v>26</v>
      </c>
      <c r="J181" t="s">
        <v>23</v>
      </c>
    </row>
    <row r="182" spans="1:15">
      <c r="A182" t="s">
        <v>72</v>
      </c>
      <c r="B182">
        <f t="shared" si="8"/>
        <v>7.183908045977011E-2</v>
      </c>
      <c r="C182">
        <f t="shared" si="9"/>
        <v>0.28735632183908044</v>
      </c>
      <c r="D182">
        <v>0.5</v>
      </c>
      <c r="E182" t="s">
        <v>83</v>
      </c>
      <c r="F182" t="s">
        <v>26</v>
      </c>
      <c r="G182" t="s">
        <v>17</v>
      </c>
      <c r="H182" t="s">
        <v>24</v>
      </c>
      <c r="I182" t="s">
        <v>25</v>
      </c>
      <c r="J182" t="s">
        <v>23</v>
      </c>
    </row>
    <row r="183" spans="1:15">
      <c r="A183" t="s">
        <v>72</v>
      </c>
      <c r="B183">
        <f t="shared" si="8"/>
        <v>7.183908045977011E-2</v>
      </c>
      <c r="C183">
        <f t="shared" si="9"/>
        <v>0.28735632183908044</v>
      </c>
      <c r="D183">
        <v>0.4</v>
      </c>
      <c r="E183" t="s">
        <v>83</v>
      </c>
      <c r="F183" t="s">
        <v>26</v>
      </c>
      <c r="G183" t="s">
        <v>25</v>
      </c>
      <c r="H183" t="s">
        <v>18</v>
      </c>
      <c r="I183" t="s">
        <v>24</v>
      </c>
      <c r="J183" t="s">
        <v>17</v>
      </c>
    </row>
    <row r="184" spans="1:15">
      <c r="A184" t="s">
        <v>72</v>
      </c>
      <c r="B184">
        <f t="shared" si="8"/>
        <v>7.183908045977011E-2</v>
      </c>
      <c r="C184">
        <f t="shared" si="9"/>
        <v>0.28735632183908044</v>
      </c>
      <c r="D184">
        <v>0.3</v>
      </c>
      <c r="E184" t="s">
        <v>83</v>
      </c>
      <c r="F184" t="s">
        <v>23</v>
      </c>
      <c r="G184" t="s">
        <v>25</v>
      </c>
      <c r="H184" t="s">
        <v>20</v>
      </c>
      <c r="I184" t="s">
        <v>24</v>
      </c>
      <c r="J184" t="s">
        <v>19</v>
      </c>
    </row>
    <row r="185" spans="1:15">
      <c r="A185" t="s">
        <v>72</v>
      </c>
      <c r="B185">
        <f t="shared" si="8"/>
        <v>7.183908045977011E-2</v>
      </c>
      <c r="C185">
        <f t="shared" si="9"/>
        <v>0.28735632183908044</v>
      </c>
      <c r="D185">
        <v>0.2</v>
      </c>
      <c r="E185" t="s">
        <v>83</v>
      </c>
      <c r="F185" t="s">
        <v>26</v>
      </c>
      <c r="G185" t="s">
        <v>19</v>
      </c>
      <c r="H185" t="s">
        <v>17</v>
      </c>
      <c r="I185" t="s">
        <v>20</v>
      </c>
      <c r="J185" t="s">
        <v>22</v>
      </c>
    </row>
    <row r="186" spans="1:15">
      <c r="A186" t="s">
        <v>72</v>
      </c>
      <c r="B186">
        <f t="shared" si="8"/>
        <v>7.183908045977011E-2</v>
      </c>
      <c r="C186">
        <f t="shared" si="9"/>
        <v>0.28735632183908044</v>
      </c>
      <c r="D186">
        <v>9.9999999999999895E-2</v>
      </c>
      <c r="E186" t="s">
        <v>83</v>
      </c>
      <c r="F186" t="s">
        <v>20</v>
      </c>
      <c r="G186" t="s">
        <v>26</v>
      </c>
      <c r="H186" t="s">
        <v>18</v>
      </c>
      <c r="I186" t="s">
        <v>17</v>
      </c>
      <c r="J186" t="s">
        <v>22</v>
      </c>
    </row>
    <row r="187" spans="1:15">
      <c r="A187" t="s">
        <v>72</v>
      </c>
      <c r="B187">
        <f t="shared" si="8"/>
        <v>7.183908045977011E-2</v>
      </c>
      <c r="C187">
        <f t="shared" si="9"/>
        <v>0.28735632183908044</v>
      </c>
      <c r="D187">
        <v>0</v>
      </c>
      <c r="E187" t="s">
        <v>83</v>
      </c>
      <c r="F187" t="s">
        <v>25</v>
      </c>
      <c r="G187" t="s">
        <v>26</v>
      </c>
      <c r="H187" t="s">
        <v>20</v>
      </c>
      <c r="I187" t="s">
        <v>22</v>
      </c>
      <c r="J187" t="s">
        <v>24</v>
      </c>
    </row>
    <row r="188" spans="1:15">
      <c r="A188" t="s">
        <v>72</v>
      </c>
      <c r="B188">
        <f t="shared" si="8"/>
        <v>7.183908045977011E-2</v>
      </c>
      <c r="C188">
        <f t="shared" si="9"/>
        <v>0.28735632183908044</v>
      </c>
      <c r="D188">
        <v>-0.1</v>
      </c>
      <c r="E188" t="s">
        <v>83</v>
      </c>
      <c r="F188" t="s">
        <v>22</v>
      </c>
      <c r="G188" t="s">
        <v>25</v>
      </c>
      <c r="H188" t="s">
        <v>19</v>
      </c>
      <c r="I188" t="s">
        <v>17</v>
      </c>
      <c r="J188" t="s">
        <v>18</v>
      </c>
    </row>
    <row r="189" spans="1:15">
      <c r="A189" t="s">
        <v>72</v>
      </c>
      <c r="B189">
        <f t="shared" si="8"/>
        <v>7.183908045977011E-2</v>
      </c>
      <c r="C189">
        <f t="shared" si="9"/>
        <v>0.28735632183908044</v>
      </c>
      <c r="D189">
        <v>-0.2</v>
      </c>
      <c r="E189" t="s">
        <v>83</v>
      </c>
      <c r="F189" t="s">
        <v>25</v>
      </c>
      <c r="G189" t="s">
        <v>21</v>
      </c>
      <c r="H189" t="s">
        <v>20</v>
      </c>
      <c r="I189" t="s">
        <v>19</v>
      </c>
      <c r="J189" t="s">
        <v>24</v>
      </c>
    </row>
    <row r="190" spans="1:15">
      <c r="A190" t="s">
        <v>72</v>
      </c>
      <c r="B190">
        <f t="shared" si="8"/>
        <v>7.183908045977011E-2</v>
      </c>
      <c r="C190">
        <f t="shared" si="9"/>
        <v>0.28735632183908044</v>
      </c>
      <c r="D190">
        <v>-0.3</v>
      </c>
      <c r="E190" t="s">
        <v>83</v>
      </c>
      <c r="F190" t="s">
        <v>21</v>
      </c>
      <c r="G190" t="s">
        <v>18</v>
      </c>
      <c r="H190" t="s">
        <v>20</v>
      </c>
      <c r="I190" t="s">
        <v>19</v>
      </c>
      <c r="J190" t="s">
        <v>22</v>
      </c>
    </row>
    <row r="191" spans="1:15">
      <c r="A191" t="s">
        <v>73</v>
      </c>
      <c r="B191">
        <f>1/25.62</f>
        <v>3.9032006245121001E-2</v>
      </c>
      <c r="C191">
        <f>4/25.62</f>
        <v>0.156128024980484</v>
      </c>
      <c r="D191">
        <v>1.7</v>
      </c>
      <c r="E191" t="s">
        <v>83</v>
      </c>
      <c r="F191" t="s">
        <v>18</v>
      </c>
      <c r="G191" t="s">
        <v>19</v>
      </c>
      <c r="H191" t="s">
        <v>21</v>
      </c>
      <c r="I191" t="s">
        <v>23</v>
      </c>
      <c r="J191" t="s">
        <v>17</v>
      </c>
      <c r="K191" t="s">
        <v>18</v>
      </c>
      <c r="L191" t="s">
        <v>19</v>
      </c>
      <c r="M191" t="s">
        <v>21</v>
      </c>
      <c r="N191" t="s">
        <v>23</v>
      </c>
      <c r="O191" t="s">
        <v>17</v>
      </c>
    </row>
    <row r="192" spans="1:15">
      <c r="A192" t="s">
        <v>73</v>
      </c>
      <c r="B192">
        <f t="shared" ref="B192:B211" si="10">1/25.62</f>
        <v>3.9032006245121001E-2</v>
      </c>
      <c r="C192">
        <f t="shared" ref="C192:C211" si="11">4/25.62</f>
        <v>0.156128024980484</v>
      </c>
      <c r="D192">
        <v>1.6</v>
      </c>
      <c r="E192" t="s">
        <v>83</v>
      </c>
      <c r="F192" t="s">
        <v>17</v>
      </c>
      <c r="G192" t="s">
        <v>20</v>
      </c>
      <c r="H192" t="s">
        <v>18</v>
      </c>
      <c r="I192" t="s">
        <v>22</v>
      </c>
      <c r="J192" t="s">
        <v>21</v>
      </c>
      <c r="K192" t="s">
        <v>17</v>
      </c>
      <c r="L192" t="s">
        <v>20</v>
      </c>
      <c r="M192" t="s">
        <v>18</v>
      </c>
      <c r="N192" t="s">
        <v>22</v>
      </c>
      <c r="O192" t="s">
        <v>21</v>
      </c>
    </row>
    <row r="193" spans="1:15">
      <c r="A193" t="s">
        <v>73</v>
      </c>
      <c r="B193">
        <f t="shared" si="10"/>
        <v>3.9032006245121001E-2</v>
      </c>
      <c r="C193">
        <f t="shared" si="11"/>
        <v>0.156128024980484</v>
      </c>
      <c r="D193">
        <v>1.5</v>
      </c>
      <c r="E193" t="s">
        <v>83</v>
      </c>
      <c r="F193" t="s">
        <v>24</v>
      </c>
      <c r="G193" t="s">
        <v>26</v>
      </c>
      <c r="H193" t="s">
        <v>23</v>
      </c>
      <c r="I193" t="s">
        <v>18</v>
      </c>
      <c r="J193" t="s">
        <v>17</v>
      </c>
      <c r="K193" t="s">
        <v>24</v>
      </c>
      <c r="L193" t="s">
        <v>26</v>
      </c>
      <c r="M193" t="s">
        <v>23</v>
      </c>
      <c r="N193" t="s">
        <v>18</v>
      </c>
      <c r="O193" t="s">
        <v>17</v>
      </c>
    </row>
    <row r="194" spans="1:15">
      <c r="A194" t="s">
        <v>73</v>
      </c>
      <c r="B194">
        <f t="shared" si="10"/>
        <v>3.9032006245121001E-2</v>
      </c>
      <c r="C194">
        <f t="shared" si="11"/>
        <v>0.156128024980484</v>
      </c>
      <c r="D194">
        <v>1.4</v>
      </c>
      <c r="E194" t="s">
        <v>83</v>
      </c>
      <c r="F194" t="s">
        <v>17</v>
      </c>
      <c r="G194" t="s">
        <v>24</v>
      </c>
      <c r="H194" t="s">
        <v>23</v>
      </c>
      <c r="I194" t="s">
        <v>18</v>
      </c>
      <c r="J194" t="s">
        <v>21</v>
      </c>
      <c r="K194" t="s">
        <v>17</v>
      </c>
      <c r="M194" t="s">
        <v>23</v>
      </c>
      <c r="O194" t="s">
        <v>21</v>
      </c>
    </row>
    <row r="195" spans="1:15">
      <c r="A195" t="s">
        <v>73</v>
      </c>
      <c r="B195">
        <f t="shared" si="10"/>
        <v>3.9032006245121001E-2</v>
      </c>
      <c r="C195">
        <f t="shared" si="11"/>
        <v>0.156128024980484</v>
      </c>
      <c r="D195">
        <v>1.3</v>
      </c>
      <c r="E195" t="s">
        <v>83</v>
      </c>
      <c r="F195" t="s">
        <v>17</v>
      </c>
      <c r="G195" t="s">
        <v>23</v>
      </c>
      <c r="H195" t="s">
        <v>19</v>
      </c>
      <c r="I195" t="s">
        <v>22</v>
      </c>
      <c r="J195" t="s">
        <v>21</v>
      </c>
      <c r="K195" t="s">
        <v>17</v>
      </c>
      <c r="L195" t="s">
        <v>23</v>
      </c>
      <c r="M195" t="s">
        <v>19</v>
      </c>
      <c r="N195" t="s">
        <v>22</v>
      </c>
      <c r="O195" t="s">
        <v>21</v>
      </c>
    </row>
    <row r="196" spans="1:15">
      <c r="A196" t="s">
        <v>73</v>
      </c>
      <c r="B196">
        <f t="shared" si="10"/>
        <v>3.9032006245121001E-2</v>
      </c>
      <c r="C196">
        <f t="shared" si="11"/>
        <v>0.156128024980484</v>
      </c>
      <c r="D196">
        <v>1.2</v>
      </c>
      <c r="E196" t="s">
        <v>83</v>
      </c>
      <c r="F196" t="s">
        <v>18</v>
      </c>
      <c r="G196" t="s">
        <v>25</v>
      </c>
      <c r="H196" t="s">
        <v>17</v>
      </c>
      <c r="I196" t="s">
        <v>24</v>
      </c>
      <c r="J196" t="s">
        <v>19</v>
      </c>
      <c r="K196" t="s">
        <v>18</v>
      </c>
      <c r="L196" t="s">
        <v>25</v>
      </c>
    </row>
    <row r="197" spans="1:15">
      <c r="A197" t="s">
        <v>73</v>
      </c>
      <c r="B197">
        <f t="shared" si="10"/>
        <v>3.9032006245121001E-2</v>
      </c>
      <c r="C197">
        <f t="shared" si="11"/>
        <v>0.156128024980484</v>
      </c>
      <c r="D197">
        <v>1.1000000000000001</v>
      </c>
      <c r="E197" t="s">
        <v>83</v>
      </c>
      <c r="F197" t="s">
        <v>20</v>
      </c>
      <c r="G197" t="s">
        <v>22</v>
      </c>
      <c r="H197" t="s">
        <v>23</v>
      </c>
      <c r="I197" t="s">
        <v>18</v>
      </c>
      <c r="J197" t="s">
        <v>17</v>
      </c>
    </row>
    <row r="198" spans="1:15">
      <c r="A198" t="s">
        <v>73</v>
      </c>
      <c r="B198">
        <f t="shared" si="10"/>
        <v>3.9032006245121001E-2</v>
      </c>
      <c r="C198">
        <f t="shared" si="11"/>
        <v>0.156128024980484</v>
      </c>
      <c r="D198">
        <v>1</v>
      </c>
      <c r="E198" t="s">
        <v>83</v>
      </c>
      <c r="F198" t="s">
        <v>24</v>
      </c>
      <c r="G198" t="s">
        <v>22</v>
      </c>
      <c r="H198" t="s">
        <v>19</v>
      </c>
      <c r="I198" t="s">
        <v>21</v>
      </c>
      <c r="J198" t="s">
        <v>26</v>
      </c>
    </row>
    <row r="199" spans="1:15">
      <c r="A199" t="s">
        <v>73</v>
      </c>
      <c r="B199">
        <f t="shared" si="10"/>
        <v>3.9032006245121001E-2</v>
      </c>
      <c r="C199">
        <f t="shared" si="11"/>
        <v>0.156128024980484</v>
      </c>
      <c r="D199">
        <v>0.90000000000000102</v>
      </c>
      <c r="E199" t="s">
        <v>83</v>
      </c>
      <c r="F199" t="s">
        <v>23</v>
      </c>
      <c r="G199" t="s">
        <v>20</v>
      </c>
      <c r="H199" t="s">
        <v>18</v>
      </c>
      <c r="I199" t="s">
        <v>17</v>
      </c>
      <c r="J199" t="s">
        <v>25</v>
      </c>
    </row>
    <row r="200" spans="1:15">
      <c r="A200" t="s">
        <v>73</v>
      </c>
      <c r="B200">
        <f t="shared" si="10"/>
        <v>3.9032006245121001E-2</v>
      </c>
      <c r="C200">
        <f t="shared" si="11"/>
        <v>0.156128024980484</v>
      </c>
      <c r="D200">
        <v>0.80000000000000104</v>
      </c>
      <c r="E200" t="s">
        <v>83</v>
      </c>
      <c r="F200" t="s">
        <v>23</v>
      </c>
      <c r="G200" t="s">
        <v>26</v>
      </c>
      <c r="H200" t="s">
        <v>19</v>
      </c>
      <c r="I200" t="s">
        <v>18</v>
      </c>
      <c r="J200" t="s">
        <v>25</v>
      </c>
    </row>
    <row r="201" spans="1:15">
      <c r="A201" t="s">
        <v>73</v>
      </c>
      <c r="B201">
        <f t="shared" si="10"/>
        <v>3.9032006245121001E-2</v>
      </c>
      <c r="C201">
        <f t="shared" si="11"/>
        <v>0.156128024980484</v>
      </c>
      <c r="D201">
        <v>0.70000000000000095</v>
      </c>
      <c r="E201" t="s">
        <v>83</v>
      </c>
      <c r="F201" t="s">
        <v>25</v>
      </c>
      <c r="G201" t="s">
        <v>24</v>
      </c>
      <c r="H201" t="s">
        <v>20</v>
      </c>
      <c r="I201" t="s">
        <v>18</v>
      </c>
      <c r="J201" t="s">
        <v>19</v>
      </c>
    </row>
    <row r="202" spans="1:15">
      <c r="A202" t="s">
        <v>73</v>
      </c>
      <c r="B202">
        <f t="shared" si="10"/>
        <v>3.9032006245121001E-2</v>
      </c>
      <c r="C202">
        <f t="shared" si="11"/>
        <v>0.156128024980484</v>
      </c>
      <c r="D202">
        <v>0.6</v>
      </c>
      <c r="E202" t="s">
        <v>83</v>
      </c>
      <c r="F202" t="s">
        <v>26</v>
      </c>
      <c r="G202" t="s">
        <v>17</v>
      </c>
      <c r="H202" t="s">
        <v>22</v>
      </c>
      <c r="I202" t="s">
        <v>24</v>
      </c>
      <c r="J202" t="s">
        <v>19</v>
      </c>
    </row>
    <row r="203" spans="1:15">
      <c r="A203" t="s">
        <v>73</v>
      </c>
      <c r="B203">
        <f t="shared" si="10"/>
        <v>3.9032006245121001E-2</v>
      </c>
      <c r="C203">
        <f t="shared" si="11"/>
        <v>0.156128024980484</v>
      </c>
      <c r="D203">
        <v>0.5</v>
      </c>
      <c r="E203" t="s">
        <v>83</v>
      </c>
      <c r="F203" t="s">
        <v>26</v>
      </c>
      <c r="G203" t="s">
        <v>17</v>
      </c>
      <c r="H203" t="s">
        <v>21</v>
      </c>
      <c r="I203" t="s">
        <v>24</v>
      </c>
      <c r="J203" t="s">
        <v>23</v>
      </c>
    </row>
    <row r="204" spans="1:15">
      <c r="A204" t="s">
        <v>73</v>
      </c>
      <c r="B204">
        <f t="shared" si="10"/>
        <v>3.9032006245121001E-2</v>
      </c>
      <c r="C204">
        <f t="shared" si="11"/>
        <v>0.156128024980484</v>
      </c>
      <c r="D204">
        <v>0.4</v>
      </c>
      <c r="E204" t="s">
        <v>83</v>
      </c>
      <c r="F204" t="s">
        <v>19</v>
      </c>
      <c r="G204" t="s">
        <v>18</v>
      </c>
      <c r="H204" t="s">
        <v>22</v>
      </c>
      <c r="I204" t="s">
        <v>26</v>
      </c>
      <c r="J204" t="s">
        <v>20</v>
      </c>
    </row>
    <row r="205" spans="1:15">
      <c r="A205" t="s">
        <v>73</v>
      </c>
      <c r="B205">
        <f t="shared" si="10"/>
        <v>3.9032006245121001E-2</v>
      </c>
      <c r="C205">
        <f t="shared" si="11"/>
        <v>0.156128024980484</v>
      </c>
      <c r="D205">
        <v>0.3</v>
      </c>
      <c r="E205" t="s">
        <v>83</v>
      </c>
      <c r="F205" t="s">
        <v>19</v>
      </c>
      <c r="G205" t="s">
        <v>24</v>
      </c>
      <c r="H205" t="s">
        <v>21</v>
      </c>
      <c r="I205" t="s">
        <v>23</v>
      </c>
      <c r="J205" t="s">
        <v>22</v>
      </c>
    </row>
    <row r="206" spans="1:15">
      <c r="A206" t="s">
        <v>73</v>
      </c>
      <c r="B206">
        <f t="shared" si="10"/>
        <v>3.9032006245121001E-2</v>
      </c>
      <c r="C206">
        <f t="shared" si="11"/>
        <v>0.156128024980484</v>
      </c>
      <c r="D206">
        <v>0.2</v>
      </c>
      <c r="E206" t="s">
        <v>83</v>
      </c>
      <c r="F206" t="s">
        <v>19</v>
      </c>
      <c r="G206" t="s">
        <v>25</v>
      </c>
      <c r="H206" t="s">
        <v>26</v>
      </c>
      <c r="I206" t="s">
        <v>22</v>
      </c>
      <c r="J206" t="s">
        <v>20</v>
      </c>
    </row>
    <row r="207" spans="1:15">
      <c r="A207" t="s">
        <v>73</v>
      </c>
      <c r="B207">
        <f t="shared" si="10"/>
        <v>3.9032006245121001E-2</v>
      </c>
      <c r="C207">
        <f t="shared" si="11"/>
        <v>0.156128024980484</v>
      </c>
      <c r="D207">
        <v>9.9999999999999895E-2</v>
      </c>
      <c r="E207" t="s">
        <v>83</v>
      </c>
      <c r="F207" t="s">
        <v>19</v>
      </c>
      <c r="G207" t="s">
        <v>25</v>
      </c>
      <c r="H207" t="s">
        <v>24</v>
      </c>
      <c r="I207" t="s">
        <v>21</v>
      </c>
      <c r="J207" t="s">
        <v>20</v>
      </c>
    </row>
    <row r="208" spans="1:15">
      <c r="A208" t="s">
        <v>73</v>
      </c>
      <c r="B208">
        <f t="shared" si="10"/>
        <v>3.9032006245121001E-2</v>
      </c>
      <c r="C208">
        <f t="shared" si="11"/>
        <v>0.156128024980484</v>
      </c>
      <c r="D208">
        <v>0</v>
      </c>
      <c r="E208" t="s">
        <v>83</v>
      </c>
      <c r="F208" t="s">
        <v>20</v>
      </c>
      <c r="G208" t="s">
        <v>25</v>
      </c>
      <c r="H208" t="s">
        <v>23</v>
      </c>
      <c r="I208" t="s">
        <v>21</v>
      </c>
      <c r="J208" t="s">
        <v>18</v>
      </c>
    </row>
    <row r="209" spans="1:15">
      <c r="A209" t="s">
        <v>73</v>
      </c>
      <c r="B209">
        <f t="shared" si="10"/>
        <v>3.9032006245121001E-2</v>
      </c>
      <c r="C209">
        <f t="shared" si="11"/>
        <v>0.156128024980484</v>
      </c>
      <c r="D209">
        <v>-0.1</v>
      </c>
      <c r="E209" t="s">
        <v>83</v>
      </c>
      <c r="F209" t="s">
        <v>21</v>
      </c>
      <c r="G209" t="s">
        <v>22</v>
      </c>
      <c r="H209" t="s">
        <v>18</v>
      </c>
      <c r="I209" t="s">
        <v>19</v>
      </c>
      <c r="J209" t="s">
        <v>17</v>
      </c>
    </row>
    <row r="210" spans="1:15">
      <c r="A210" t="s">
        <v>73</v>
      </c>
      <c r="B210">
        <f t="shared" si="10"/>
        <v>3.9032006245121001E-2</v>
      </c>
      <c r="C210">
        <f t="shared" si="11"/>
        <v>0.156128024980484</v>
      </c>
      <c r="D210">
        <v>-0.2</v>
      </c>
      <c r="E210" t="s">
        <v>83</v>
      </c>
      <c r="F210" t="s">
        <v>21</v>
      </c>
      <c r="G210" t="s">
        <v>17</v>
      </c>
      <c r="H210" t="s">
        <v>25</v>
      </c>
      <c r="I210" t="s">
        <v>23</v>
      </c>
      <c r="J210" t="s">
        <v>26</v>
      </c>
    </row>
    <row r="211" spans="1:15">
      <c r="A211" t="s">
        <v>73</v>
      </c>
      <c r="B211">
        <f t="shared" si="10"/>
        <v>3.9032006245121001E-2</v>
      </c>
      <c r="C211">
        <f t="shared" si="11"/>
        <v>0.156128024980484</v>
      </c>
      <c r="D211">
        <v>-0.3</v>
      </c>
      <c r="E211" t="s">
        <v>83</v>
      </c>
      <c r="F211" t="s">
        <v>17</v>
      </c>
      <c r="G211" t="s">
        <v>18</v>
      </c>
      <c r="H211" t="s">
        <v>25</v>
      </c>
      <c r="I211" t="s">
        <v>20</v>
      </c>
      <c r="J211" t="s">
        <v>23</v>
      </c>
    </row>
    <row r="212" spans="1:15">
      <c r="A212" t="s">
        <v>74</v>
      </c>
      <c r="B212">
        <f>1/46.62</f>
        <v>2.145002145002145E-2</v>
      </c>
      <c r="C212">
        <f>4/20.9</f>
        <v>0.19138755980861244</v>
      </c>
      <c r="D212">
        <v>1.7</v>
      </c>
      <c r="E212" t="s">
        <v>83</v>
      </c>
      <c r="F212" t="s">
        <v>20</v>
      </c>
      <c r="G212" t="s">
        <v>19</v>
      </c>
      <c r="H212" t="s">
        <v>18</v>
      </c>
      <c r="I212" t="s">
        <v>23</v>
      </c>
      <c r="J212" t="s">
        <v>22</v>
      </c>
      <c r="K212" t="s">
        <v>20</v>
      </c>
      <c r="M212" t="s">
        <v>18</v>
      </c>
      <c r="N212" t="s">
        <v>23</v>
      </c>
      <c r="O212" t="s">
        <v>22</v>
      </c>
    </row>
    <row r="213" spans="1:15">
      <c r="A213" t="s">
        <v>74</v>
      </c>
      <c r="B213">
        <f t="shared" ref="B213:B232" si="12">1/46.62</f>
        <v>2.145002145002145E-2</v>
      </c>
      <c r="C213">
        <f t="shared" ref="C213:C232" si="13">4/20.9</f>
        <v>0.19138755980861244</v>
      </c>
      <c r="D213">
        <v>1.6</v>
      </c>
      <c r="E213" t="s">
        <v>83</v>
      </c>
      <c r="F213" t="s">
        <v>23</v>
      </c>
      <c r="G213" t="s">
        <v>19</v>
      </c>
      <c r="H213" t="s">
        <v>20</v>
      </c>
      <c r="I213" t="s">
        <v>26</v>
      </c>
      <c r="J213" t="s">
        <v>25</v>
      </c>
      <c r="K213" t="s">
        <v>23</v>
      </c>
    </row>
    <row r="214" spans="1:15">
      <c r="A214" t="s">
        <v>74</v>
      </c>
      <c r="B214">
        <f t="shared" si="12"/>
        <v>2.145002145002145E-2</v>
      </c>
      <c r="C214">
        <f t="shared" si="13"/>
        <v>0.19138755980861244</v>
      </c>
      <c r="D214">
        <v>1.5</v>
      </c>
      <c r="E214" t="s">
        <v>83</v>
      </c>
      <c r="F214" t="s">
        <v>26</v>
      </c>
      <c r="G214" t="s">
        <v>22</v>
      </c>
      <c r="H214" t="s">
        <v>20</v>
      </c>
      <c r="I214" t="s">
        <v>17</v>
      </c>
      <c r="J214" t="s">
        <v>21</v>
      </c>
    </row>
    <row r="215" spans="1:15">
      <c r="A215" t="s">
        <v>74</v>
      </c>
      <c r="B215">
        <f t="shared" si="12"/>
        <v>2.145002145002145E-2</v>
      </c>
      <c r="C215">
        <f t="shared" si="13"/>
        <v>0.19138755980861244</v>
      </c>
      <c r="D215">
        <v>1.4</v>
      </c>
      <c r="E215" t="s">
        <v>83</v>
      </c>
      <c r="F215" t="s">
        <v>21</v>
      </c>
      <c r="G215" t="s">
        <v>24</v>
      </c>
      <c r="H215" t="s">
        <v>26</v>
      </c>
      <c r="I215" t="s">
        <v>25</v>
      </c>
      <c r="J215" t="s">
        <v>19</v>
      </c>
    </row>
    <row r="216" spans="1:15">
      <c r="A216" t="s">
        <v>74</v>
      </c>
      <c r="B216">
        <f t="shared" si="12"/>
        <v>2.145002145002145E-2</v>
      </c>
      <c r="C216">
        <f t="shared" si="13"/>
        <v>0.19138755980861244</v>
      </c>
      <c r="D216">
        <v>1.3</v>
      </c>
      <c r="E216" t="s">
        <v>83</v>
      </c>
      <c r="F216" t="s">
        <v>23</v>
      </c>
      <c r="G216" t="s">
        <v>26</v>
      </c>
      <c r="H216" t="s">
        <v>19</v>
      </c>
      <c r="I216" t="s">
        <v>20</v>
      </c>
      <c r="J216" t="s">
        <v>21</v>
      </c>
    </row>
    <row r="217" spans="1:15">
      <c r="A217" t="s">
        <v>74</v>
      </c>
      <c r="B217">
        <f t="shared" si="12"/>
        <v>2.145002145002145E-2</v>
      </c>
      <c r="C217">
        <f t="shared" si="13"/>
        <v>0.19138755980861244</v>
      </c>
      <c r="D217">
        <v>1.2</v>
      </c>
      <c r="E217" t="s">
        <v>83</v>
      </c>
      <c r="F217" t="s">
        <v>20</v>
      </c>
      <c r="G217" t="s">
        <v>21</v>
      </c>
      <c r="H217" t="s">
        <v>17</v>
      </c>
      <c r="I217" t="s">
        <v>24</v>
      </c>
      <c r="J217" t="s">
        <v>19</v>
      </c>
    </row>
    <row r="218" spans="1:15">
      <c r="A218" t="s">
        <v>74</v>
      </c>
      <c r="B218">
        <f t="shared" si="12"/>
        <v>2.145002145002145E-2</v>
      </c>
      <c r="C218">
        <f t="shared" si="13"/>
        <v>0.19138755980861244</v>
      </c>
      <c r="D218">
        <v>1.1000000000000001</v>
      </c>
      <c r="E218" t="s">
        <v>83</v>
      </c>
      <c r="F218" t="s">
        <v>19</v>
      </c>
      <c r="G218" t="s">
        <v>24</v>
      </c>
      <c r="H218" t="s">
        <v>25</v>
      </c>
      <c r="I218" t="s">
        <v>23</v>
      </c>
      <c r="J218" t="s">
        <v>17</v>
      </c>
    </row>
    <row r="219" spans="1:15">
      <c r="A219" t="s">
        <v>74</v>
      </c>
      <c r="B219">
        <f t="shared" si="12"/>
        <v>2.145002145002145E-2</v>
      </c>
      <c r="C219">
        <f t="shared" si="13"/>
        <v>0.19138755980861244</v>
      </c>
      <c r="D219">
        <v>1</v>
      </c>
      <c r="E219" t="s">
        <v>83</v>
      </c>
      <c r="F219" t="s">
        <v>25</v>
      </c>
      <c r="G219" t="s">
        <v>22</v>
      </c>
      <c r="H219" t="s">
        <v>19</v>
      </c>
      <c r="I219" t="s">
        <v>20</v>
      </c>
      <c r="J219" t="s">
        <v>24</v>
      </c>
    </row>
    <row r="220" spans="1:15">
      <c r="A220" t="s">
        <v>74</v>
      </c>
      <c r="B220">
        <f t="shared" si="12"/>
        <v>2.145002145002145E-2</v>
      </c>
      <c r="C220">
        <f t="shared" si="13"/>
        <v>0.19138755980861244</v>
      </c>
      <c r="D220">
        <v>0.90000000000000102</v>
      </c>
      <c r="E220" t="s">
        <v>83</v>
      </c>
      <c r="F220" t="s">
        <v>24</v>
      </c>
      <c r="G220" t="s">
        <v>23</v>
      </c>
      <c r="H220" t="s">
        <v>21</v>
      </c>
      <c r="I220" t="s">
        <v>18</v>
      </c>
      <c r="J220" t="s">
        <v>20</v>
      </c>
    </row>
    <row r="221" spans="1:15">
      <c r="A221" t="s">
        <v>74</v>
      </c>
      <c r="B221">
        <f t="shared" si="12"/>
        <v>2.145002145002145E-2</v>
      </c>
      <c r="C221">
        <f t="shared" si="13"/>
        <v>0.19138755980861244</v>
      </c>
      <c r="D221">
        <v>0.80000000000000104</v>
      </c>
      <c r="E221" t="s">
        <v>83</v>
      </c>
      <c r="F221" t="s">
        <v>18</v>
      </c>
      <c r="G221" t="s">
        <v>19</v>
      </c>
      <c r="H221" t="s">
        <v>22</v>
      </c>
      <c r="I221" t="s">
        <v>21</v>
      </c>
      <c r="J221" t="s">
        <v>20</v>
      </c>
    </row>
    <row r="222" spans="1:15">
      <c r="A222" t="s">
        <v>74</v>
      </c>
      <c r="B222">
        <f t="shared" si="12"/>
        <v>2.145002145002145E-2</v>
      </c>
      <c r="C222">
        <f t="shared" si="13"/>
        <v>0.19138755980861244</v>
      </c>
      <c r="D222">
        <v>0.70000000000000095</v>
      </c>
      <c r="E222" t="s">
        <v>83</v>
      </c>
      <c r="F222" t="s">
        <v>21</v>
      </c>
      <c r="G222" t="s">
        <v>23</v>
      </c>
      <c r="H222" t="s">
        <v>25</v>
      </c>
      <c r="I222" t="s">
        <v>18</v>
      </c>
      <c r="J222" t="s">
        <v>24</v>
      </c>
    </row>
    <row r="223" spans="1:15">
      <c r="A223" t="s">
        <v>74</v>
      </c>
      <c r="B223">
        <f t="shared" si="12"/>
        <v>2.145002145002145E-2</v>
      </c>
      <c r="C223">
        <f t="shared" si="13"/>
        <v>0.19138755980861244</v>
      </c>
      <c r="D223">
        <v>0.6</v>
      </c>
      <c r="E223" t="s">
        <v>83</v>
      </c>
      <c r="F223" t="s">
        <v>19</v>
      </c>
      <c r="G223" t="s">
        <v>26</v>
      </c>
      <c r="H223" t="s">
        <v>24</v>
      </c>
      <c r="I223" t="s">
        <v>18</v>
      </c>
      <c r="J223" t="s">
        <v>25</v>
      </c>
    </row>
    <row r="224" spans="1:15">
      <c r="A224" t="s">
        <v>74</v>
      </c>
      <c r="B224">
        <f t="shared" si="12"/>
        <v>2.145002145002145E-2</v>
      </c>
      <c r="C224">
        <f t="shared" si="13"/>
        <v>0.19138755980861244</v>
      </c>
      <c r="D224">
        <v>0.5</v>
      </c>
      <c r="E224" t="s">
        <v>83</v>
      </c>
      <c r="F224" t="s">
        <v>26</v>
      </c>
      <c r="G224" t="s">
        <v>24</v>
      </c>
      <c r="H224" t="s">
        <v>18</v>
      </c>
      <c r="I224" t="s">
        <v>17</v>
      </c>
      <c r="J224" t="s">
        <v>23</v>
      </c>
    </row>
    <row r="225" spans="1:15">
      <c r="A225" t="s">
        <v>74</v>
      </c>
      <c r="B225">
        <f t="shared" si="12"/>
        <v>2.145002145002145E-2</v>
      </c>
      <c r="C225">
        <f t="shared" si="13"/>
        <v>0.19138755980861244</v>
      </c>
      <c r="D225">
        <v>0.4</v>
      </c>
      <c r="E225" t="s">
        <v>83</v>
      </c>
      <c r="F225" t="s">
        <v>19</v>
      </c>
      <c r="G225" t="s">
        <v>25</v>
      </c>
      <c r="H225" t="s">
        <v>17</v>
      </c>
      <c r="I225" t="s">
        <v>26</v>
      </c>
      <c r="J225" t="s">
        <v>20</v>
      </c>
    </row>
    <row r="226" spans="1:15">
      <c r="A226" t="s">
        <v>74</v>
      </c>
      <c r="B226">
        <f t="shared" si="12"/>
        <v>2.145002145002145E-2</v>
      </c>
      <c r="C226">
        <f t="shared" si="13"/>
        <v>0.19138755980861244</v>
      </c>
      <c r="D226">
        <v>0.3</v>
      </c>
      <c r="E226" t="s">
        <v>83</v>
      </c>
      <c r="F226" t="s">
        <v>22</v>
      </c>
      <c r="G226" t="s">
        <v>25</v>
      </c>
      <c r="H226" t="s">
        <v>17</v>
      </c>
      <c r="I226" t="s">
        <v>21</v>
      </c>
      <c r="J226" t="s">
        <v>20</v>
      </c>
    </row>
    <row r="227" spans="1:15">
      <c r="A227" t="s">
        <v>74</v>
      </c>
      <c r="B227">
        <f t="shared" si="12"/>
        <v>2.145002145002145E-2</v>
      </c>
      <c r="C227">
        <f t="shared" si="13"/>
        <v>0.19138755980861244</v>
      </c>
      <c r="D227">
        <v>0.2</v>
      </c>
      <c r="E227" t="s">
        <v>83</v>
      </c>
      <c r="F227" t="s">
        <v>22</v>
      </c>
      <c r="G227" t="s">
        <v>19</v>
      </c>
      <c r="H227" t="s">
        <v>18</v>
      </c>
      <c r="I227" t="s">
        <v>23</v>
      </c>
      <c r="J227" t="s">
        <v>21</v>
      </c>
    </row>
    <row r="228" spans="1:15">
      <c r="A228" t="s">
        <v>74</v>
      </c>
      <c r="B228">
        <f t="shared" si="12"/>
        <v>2.145002145002145E-2</v>
      </c>
      <c r="C228">
        <f t="shared" si="13"/>
        <v>0.19138755980861244</v>
      </c>
      <c r="D228">
        <v>9.9999999999999895E-2</v>
      </c>
      <c r="E228" t="s">
        <v>83</v>
      </c>
      <c r="F228" t="s">
        <v>23</v>
      </c>
      <c r="G228" t="s">
        <v>25</v>
      </c>
      <c r="H228" t="s">
        <v>26</v>
      </c>
      <c r="I228" t="s">
        <v>21</v>
      </c>
      <c r="J228" t="s">
        <v>22</v>
      </c>
    </row>
    <row r="229" spans="1:15">
      <c r="A229" t="s">
        <v>74</v>
      </c>
      <c r="B229">
        <f t="shared" si="12"/>
        <v>2.145002145002145E-2</v>
      </c>
      <c r="C229">
        <f t="shared" si="13"/>
        <v>0.19138755980861244</v>
      </c>
      <c r="D229">
        <v>0</v>
      </c>
      <c r="E229" t="s">
        <v>83</v>
      </c>
      <c r="F229" t="s">
        <v>23</v>
      </c>
      <c r="G229" t="s">
        <v>22</v>
      </c>
      <c r="H229" t="s">
        <v>19</v>
      </c>
      <c r="I229" t="s">
        <v>18</v>
      </c>
      <c r="J229" t="s">
        <v>25</v>
      </c>
    </row>
    <row r="230" spans="1:15">
      <c r="A230" t="s">
        <v>74</v>
      </c>
      <c r="B230">
        <f t="shared" si="12"/>
        <v>2.145002145002145E-2</v>
      </c>
      <c r="C230">
        <f t="shared" si="13"/>
        <v>0.19138755980861244</v>
      </c>
      <c r="D230">
        <v>-0.1</v>
      </c>
      <c r="E230" t="s">
        <v>83</v>
      </c>
      <c r="F230" t="s">
        <v>17</v>
      </c>
      <c r="G230" t="s">
        <v>18</v>
      </c>
      <c r="H230" t="s">
        <v>24</v>
      </c>
      <c r="I230" t="s">
        <v>23</v>
      </c>
      <c r="J230" t="s">
        <v>25</v>
      </c>
    </row>
    <row r="231" spans="1:15">
      <c r="A231" t="s">
        <v>74</v>
      </c>
      <c r="B231">
        <f t="shared" si="12"/>
        <v>2.145002145002145E-2</v>
      </c>
      <c r="C231">
        <f t="shared" si="13"/>
        <v>0.19138755980861244</v>
      </c>
      <c r="D231">
        <v>-0.2</v>
      </c>
      <c r="E231" t="s">
        <v>83</v>
      </c>
      <c r="F231" t="s">
        <v>24</v>
      </c>
      <c r="G231" t="s">
        <v>18</v>
      </c>
      <c r="H231" t="s">
        <v>26</v>
      </c>
      <c r="I231" t="s">
        <v>21</v>
      </c>
      <c r="J231" t="s">
        <v>23</v>
      </c>
    </row>
    <row r="232" spans="1:15">
      <c r="A232" t="s">
        <v>74</v>
      </c>
      <c r="B232">
        <f t="shared" si="12"/>
        <v>2.145002145002145E-2</v>
      </c>
      <c r="C232">
        <f t="shared" si="13"/>
        <v>0.19138755980861244</v>
      </c>
      <c r="D232">
        <v>-0.3</v>
      </c>
      <c r="E232" t="s">
        <v>83</v>
      </c>
      <c r="F232" t="s">
        <v>26</v>
      </c>
      <c r="G232" t="s">
        <v>22</v>
      </c>
      <c r="H232" t="s">
        <v>19</v>
      </c>
      <c r="I232" t="s">
        <v>20</v>
      </c>
      <c r="J232" t="s">
        <v>24</v>
      </c>
    </row>
    <row r="233" spans="1:15">
      <c r="A233" t="s">
        <v>75</v>
      </c>
      <c r="B233">
        <f>1/2.3</f>
        <v>0.43478260869565222</v>
      </c>
      <c r="C233">
        <f>1/16/2.3</f>
        <v>2.7173913043478264E-2</v>
      </c>
      <c r="D233">
        <v>1.7</v>
      </c>
      <c r="E233" t="s">
        <v>83</v>
      </c>
      <c r="F233" t="s">
        <v>18</v>
      </c>
      <c r="G233" t="s">
        <v>22</v>
      </c>
      <c r="H233" t="s">
        <v>24</v>
      </c>
      <c r="I233" t="s">
        <v>20</v>
      </c>
      <c r="J233" t="s">
        <v>21</v>
      </c>
      <c r="K233" t="s">
        <v>18</v>
      </c>
      <c r="L233" t="s">
        <v>22</v>
      </c>
      <c r="M233" t="s">
        <v>24</v>
      </c>
      <c r="N233" t="s">
        <v>20</v>
      </c>
      <c r="O233" t="s">
        <v>21</v>
      </c>
    </row>
    <row r="234" spans="1:15">
      <c r="A234" t="s">
        <v>75</v>
      </c>
      <c r="B234">
        <f t="shared" ref="B234:B253" si="14">1/2.3</f>
        <v>0.43478260869565222</v>
      </c>
      <c r="C234">
        <f t="shared" ref="C234:C253" si="15">1/16/2.3</f>
        <v>2.7173913043478264E-2</v>
      </c>
      <c r="D234">
        <v>1.6</v>
      </c>
      <c r="E234" t="s">
        <v>83</v>
      </c>
      <c r="F234" t="s">
        <v>20</v>
      </c>
      <c r="G234" t="s">
        <v>25</v>
      </c>
      <c r="H234" t="s">
        <v>19</v>
      </c>
      <c r="I234" t="s">
        <v>22</v>
      </c>
      <c r="J234" t="s">
        <v>18</v>
      </c>
      <c r="K234" t="s">
        <v>20</v>
      </c>
      <c r="L234" t="s">
        <v>25</v>
      </c>
      <c r="M234" t="s">
        <v>19</v>
      </c>
      <c r="N234" t="s">
        <v>22</v>
      </c>
      <c r="O234" t="s">
        <v>18</v>
      </c>
    </row>
    <row r="235" spans="1:15">
      <c r="A235" t="s">
        <v>75</v>
      </c>
      <c r="B235">
        <f t="shared" si="14"/>
        <v>0.43478260869565222</v>
      </c>
      <c r="C235">
        <f t="shared" si="15"/>
        <v>2.7173913043478264E-2</v>
      </c>
      <c r="D235">
        <v>1.5</v>
      </c>
      <c r="E235" t="s">
        <v>83</v>
      </c>
      <c r="F235" t="s">
        <v>18</v>
      </c>
      <c r="G235" t="s">
        <v>21</v>
      </c>
      <c r="H235" t="s">
        <v>25</v>
      </c>
      <c r="I235" t="s">
        <v>20</v>
      </c>
      <c r="J235" t="s">
        <v>24</v>
      </c>
      <c r="K235" t="s">
        <v>18</v>
      </c>
      <c r="L235" t="s">
        <v>21</v>
      </c>
      <c r="M235" t="s">
        <v>25</v>
      </c>
      <c r="N235" t="s">
        <v>20</v>
      </c>
      <c r="O235" t="s">
        <v>24</v>
      </c>
    </row>
    <row r="236" spans="1:15">
      <c r="A236" t="s">
        <v>75</v>
      </c>
      <c r="B236">
        <f t="shared" si="14"/>
        <v>0.43478260869565222</v>
      </c>
      <c r="C236">
        <f t="shared" si="15"/>
        <v>2.7173913043478264E-2</v>
      </c>
      <c r="D236">
        <v>1.4</v>
      </c>
      <c r="E236" t="s">
        <v>83</v>
      </c>
      <c r="F236" t="s">
        <v>26</v>
      </c>
      <c r="G236" t="s">
        <v>25</v>
      </c>
      <c r="H236" t="s">
        <v>22</v>
      </c>
      <c r="I236" t="s">
        <v>19</v>
      </c>
      <c r="J236" t="s">
        <v>23</v>
      </c>
      <c r="K236" t="s">
        <v>26</v>
      </c>
      <c r="L236" t="s">
        <v>25</v>
      </c>
      <c r="M236" t="s">
        <v>22</v>
      </c>
      <c r="N236" t="s">
        <v>19</v>
      </c>
      <c r="O236" t="s">
        <v>23</v>
      </c>
    </row>
    <row r="237" spans="1:15">
      <c r="A237" t="s">
        <v>75</v>
      </c>
      <c r="B237">
        <f t="shared" si="14"/>
        <v>0.43478260869565222</v>
      </c>
      <c r="C237">
        <f t="shared" si="15"/>
        <v>2.7173913043478264E-2</v>
      </c>
      <c r="D237">
        <v>1.3</v>
      </c>
      <c r="E237" t="s">
        <v>83</v>
      </c>
      <c r="F237" t="s">
        <v>24</v>
      </c>
      <c r="G237" t="s">
        <v>23</v>
      </c>
      <c r="H237" t="s">
        <v>19</v>
      </c>
      <c r="I237" t="s">
        <v>17</v>
      </c>
      <c r="J237" t="s">
        <v>18</v>
      </c>
      <c r="K237" t="s">
        <v>24</v>
      </c>
      <c r="L237" t="s">
        <v>23</v>
      </c>
      <c r="M237" t="s">
        <v>19</v>
      </c>
      <c r="N237" t="s">
        <v>17</v>
      </c>
      <c r="O237" t="s">
        <v>18</v>
      </c>
    </row>
    <row r="238" spans="1:15">
      <c r="A238" t="s">
        <v>75</v>
      </c>
      <c r="B238">
        <f t="shared" si="14"/>
        <v>0.43478260869565222</v>
      </c>
      <c r="C238">
        <f t="shared" si="15"/>
        <v>2.7173913043478264E-2</v>
      </c>
      <c r="D238">
        <v>1.2</v>
      </c>
      <c r="E238" t="s">
        <v>83</v>
      </c>
      <c r="F238" t="s">
        <v>26</v>
      </c>
      <c r="G238" t="s">
        <v>19</v>
      </c>
      <c r="H238" t="s">
        <v>24</v>
      </c>
      <c r="I238" t="s">
        <v>23</v>
      </c>
      <c r="J238" t="s">
        <v>17</v>
      </c>
      <c r="K238" t="s">
        <v>26</v>
      </c>
      <c r="L238" t="s">
        <v>19</v>
      </c>
      <c r="M238" t="s">
        <v>24</v>
      </c>
      <c r="N238" t="s">
        <v>23</v>
      </c>
      <c r="O238" t="s">
        <v>17</v>
      </c>
    </row>
    <row r="239" spans="1:15">
      <c r="A239" t="s">
        <v>75</v>
      </c>
      <c r="B239">
        <f t="shared" si="14"/>
        <v>0.43478260869565222</v>
      </c>
      <c r="C239">
        <f t="shared" si="15"/>
        <v>2.7173913043478264E-2</v>
      </c>
      <c r="D239">
        <v>1.1000000000000001</v>
      </c>
      <c r="E239" t="s">
        <v>83</v>
      </c>
      <c r="F239" t="s">
        <v>22</v>
      </c>
      <c r="G239" t="s">
        <v>20</v>
      </c>
      <c r="H239" t="s">
        <v>18</v>
      </c>
      <c r="I239" t="s">
        <v>17</v>
      </c>
      <c r="J239" t="s">
        <v>26</v>
      </c>
      <c r="K239" t="s">
        <v>22</v>
      </c>
      <c r="L239" t="s">
        <v>20</v>
      </c>
      <c r="M239" t="s">
        <v>18</v>
      </c>
      <c r="N239" t="s">
        <v>17</v>
      </c>
      <c r="O239" t="s">
        <v>26</v>
      </c>
    </row>
    <row r="240" spans="1:15">
      <c r="A240" t="s">
        <v>75</v>
      </c>
      <c r="B240">
        <f t="shared" si="14"/>
        <v>0.43478260869565222</v>
      </c>
      <c r="C240">
        <f t="shared" si="15"/>
        <v>2.7173913043478264E-2</v>
      </c>
      <c r="D240">
        <v>1</v>
      </c>
      <c r="E240" t="s">
        <v>83</v>
      </c>
      <c r="F240" t="s">
        <v>20</v>
      </c>
      <c r="G240" t="s">
        <v>19</v>
      </c>
      <c r="H240" t="s">
        <v>17</v>
      </c>
      <c r="I240" t="s">
        <v>23</v>
      </c>
      <c r="J240" t="s">
        <v>18</v>
      </c>
      <c r="K240" t="s">
        <v>20</v>
      </c>
      <c r="L240" t="s">
        <v>19</v>
      </c>
      <c r="M240" t="s">
        <v>17</v>
      </c>
      <c r="N240" t="s">
        <v>23</v>
      </c>
      <c r="O240" t="s">
        <v>18</v>
      </c>
    </row>
    <row r="241" spans="1:15">
      <c r="A241" t="s">
        <v>75</v>
      </c>
      <c r="B241">
        <f t="shared" si="14"/>
        <v>0.43478260869565222</v>
      </c>
      <c r="C241">
        <f t="shared" si="15"/>
        <v>2.7173913043478264E-2</v>
      </c>
      <c r="D241">
        <v>0.90000000000000102</v>
      </c>
      <c r="E241" t="s">
        <v>83</v>
      </c>
      <c r="F241" t="s">
        <v>18</v>
      </c>
      <c r="G241" t="s">
        <v>17</v>
      </c>
      <c r="H241" t="s">
        <v>22</v>
      </c>
      <c r="I241" t="s">
        <v>23</v>
      </c>
      <c r="J241" t="s">
        <v>24</v>
      </c>
      <c r="K241" t="s">
        <v>18</v>
      </c>
      <c r="L241" t="s">
        <v>17</v>
      </c>
      <c r="M241" t="s">
        <v>22</v>
      </c>
      <c r="N241" t="s">
        <v>23</v>
      </c>
      <c r="O241" t="s">
        <v>24</v>
      </c>
    </row>
    <row r="242" spans="1:15">
      <c r="A242" t="s">
        <v>75</v>
      </c>
      <c r="B242">
        <f t="shared" si="14"/>
        <v>0.43478260869565222</v>
      </c>
      <c r="C242">
        <f t="shared" si="15"/>
        <v>2.7173913043478264E-2</v>
      </c>
      <c r="D242">
        <v>0.80000000000000104</v>
      </c>
      <c r="E242" t="s">
        <v>83</v>
      </c>
      <c r="F242" t="s">
        <v>23</v>
      </c>
      <c r="G242" t="s">
        <v>20</v>
      </c>
      <c r="H242" t="s">
        <v>25</v>
      </c>
      <c r="I242" t="s">
        <v>24</v>
      </c>
      <c r="J242" t="s">
        <v>26</v>
      </c>
      <c r="K242" t="s">
        <v>23</v>
      </c>
      <c r="L242" t="s">
        <v>20</v>
      </c>
      <c r="N242" t="s">
        <v>24</v>
      </c>
      <c r="O242" t="s">
        <v>26</v>
      </c>
    </row>
    <row r="243" spans="1:15">
      <c r="A243" t="s">
        <v>75</v>
      </c>
      <c r="B243">
        <f t="shared" si="14"/>
        <v>0.43478260869565222</v>
      </c>
      <c r="C243">
        <f t="shared" si="15"/>
        <v>2.7173913043478264E-2</v>
      </c>
      <c r="D243">
        <v>0.70000000000000095</v>
      </c>
      <c r="E243" t="s">
        <v>83</v>
      </c>
      <c r="F243" t="s">
        <v>19</v>
      </c>
      <c r="G243" t="s">
        <v>22</v>
      </c>
      <c r="H243" t="s">
        <v>18</v>
      </c>
      <c r="I243" t="s">
        <v>23</v>
      </c>
      <c r="J243" t="s">
        <v>17</v>
      </c>
      <c r="L243" t="s">
        <v>22</v>
      </c>
    </row>
    <row r="244" spans="1:15">
      <c r="A244" t="s">
        <v>75</v>
      </c>
      <c r="B244">
        <f t="shared" si="14"/>
        <v>0.43478260869565222</v>
      </c>
      <c r="C244">
        <f t="shared" si="15"/>
        <v>2.7173913043478264E-2</v>
      </c>
      <c r="D244">
        <v>0.6</v>
      </c>
      <c r="E244" t="s">
        <v>83</v>
      </c>
      <c r="F244" t="s">
        <v>21</v>
      </c>
      <c r="G244" t="s">
        <v>25</v>
      </c>
      <c r="H244" t="s">
        <v>20</v>
      </c>
      <c r="I244" t="s">
        <v>19</v>
      </c>
      <c r="J244" t="s">
        <v>17</v>
      </c>
    </row>
    <row r="245" spans="1:15">
      <c r="A245" t="s">
        <v>75</v>
      </c>
      <c r="B245">
        <f t="shared" si="14"/>
        <v>0.43478260869565222</v>
      </c>
      <c r="C245">
        <f t="shared" si="15"/>
        <v>2.7173913043478264E-2</v>
      </c>
      <c r="D245">
        <v>0.5</v>
      </c>
      <c r="E245" t="s">
        <v>83</v>
      </c>
      <c r="F245" t="s">
        <v>21</v>
      </c>
      <c r="G245" t="s">
        <v>22</v>
      </c>
      <c r="H245" t="s">
        <v>19</v>
      </c>
      <c r="I245" t="s">
        <v>24</v>
      </c>
      <c r="J245" t="s">
        <v>17</v>
      </c>
    </row>
    <row r="246" spans="1:15">
      <c r="A246" t="s">
        <v>75</v>
      </c>
      <c r="B246">
        <f t="shared" si="14"/>
        <v>0.43478260869565222</v>
      </c>
      <c r="C246">
        <f t="shared" si="15"/>
        <v>2.7173913043478264E-2</v>
      </c>
      <c r="D246">
        <v>0.4</v>
      </c>
      <c r="E246" t="s">
        <v>83</v>
      </c>
      <c r="F246" t="s">
        <v>26</v>
      </c>
      <c r="G246" t="s">
        <v>19</v>
      </c>
      <c r="H246" t="s">
        <v>22</v>
      </c>
      <c r="I246" t="s">
        <v>23</v>
      </c>
      <c r="J246" t="s">
        <v>21</v>
      </c>
    </row>
    <row r="247" spans="1:15">
      <c r="A247" t="s">
        <v>75</v>
      </c>
      <c r="B247">
        <f t="shared" si="14"/>
        <v>0.43478260869565222</v>
      </c>
      <c r="C247">
        <f t="shared" si="15"/>
        <v>2.7173913043478264E-2</v>
      </c>
      <c r="D247">
        <v>0.3</v>
      </c>
      <c r="E247" t="s">
        <v>83</v>
      </c>
      <c r="F247" t="s">
        <v>26</v>
      </c>
      <c r="G247" t="s">
        <v>21</v>
      </c>
      <c r="H247" t="s">
        <v>24</v>
      </c>
      <c r="I247" t="s">
        <v>20</v>
      </c>
      <c r="J247" t="s">
        <v>19</v>
      </c>
    </row>
    <row r="248" spans="1:15">
      <c r="A248" t="s">
        <v>75</v>
      </c>
      <c r="B248">
        <f t="shared" si="14"/>
        <v>0.43478260869565222</v>
      </c>
      <c r="C248">
        <f t="shared" si="15"/>
        <v>2.7173913043478264E-2</v>
      </c>
      <c r="D248">
        <v>0.2</v>
      </c>
      <c r="E248" t="s">
        <v>83</v>
      </c>
      <c r="F248" t="s">
        <v>19</v>
      </c>
      <c r="G248" t="s">
        <v>18</v>
      </c>
      <c r="H248" t="s">
        <v>25</v>
      </c>
      <c r="I248" t="s">
        <v>21</v>
      </c>
      <c r="J248" t="s">
        <v>23</v>
      </c>
    </row>
    <row r="249" spans="1:15">
      <c r="A249" t="s">
        <v>75</v>
      </c>
      <c r="B249">
        <f t="shared" si="14"/>
        <v>0.43478260869565222</v>
      </c>
      <c r="C249">
        <f t="shared" si="15"/>
        <v>2.7173913043478264E-2</v>
      </c>
      <c r="D249">
        <v>9.9999999999999895E-2</v>
      </c>
      <c r="E249" t="s">
        <v>83</v>
      </c>
      <c r="F249" t="s">
        <v>22</v>
      </c>
      <c r="G249" t="s">
        <v>26</v>
      </c>
      <c r="H249" t="s">
        <v>21</v>
      </c>
      <c r="I249" t="s">
        <v>19</v>
      </c>
      <c r="J249" t="s">
        <v>20</v>
      </c>
    </row>
    <row r="250" spans="1:15">
      <c r="A250" t="s">
        <v>75</v>
      </c>
      <c r="B250">
        <f t="shared" si="14"/>
        <v>0.43478260869565222</v>
      </c>
      <c r="C250">
        <f t="shared" si="15"/>
        <v>2.7173913043478264E-2</v>
      </c>
      <c r="D250">
        <v>0</v>
      </c>
      <c r="E250" t="s">
        <v>83</v>
      </c>
      <c r="F250" t="s">
        <v>18</v>
      </c>
      <c r="G250" t="s">
        <v>23</v>
      </c>
      <c r="H250" t="s">
        <v>21</v>
      </c>
      <c r="I250" t="s">
        <v>17</v>
      </c>
      <c r="J250" t="s">
        <v>19</v>
      </c>
    </row>
    <row r="251" spans="1:15">
      <c r="A251" t="s">
        <v>75</v>
      </c>
      <c r="B251">
        <f t="shared" si="14"/>
        <v>0.43478260869565222</v>
      </c>
      <c r="C251">
        <f t="shared" si="15"/>
        <v>2.7173913043478264E-2</v>
      </c>
      <c r="D251">
        <v>-0.1</v>
      </c>
      <c r="E251" t="s">
        <v>83</v>
      </c>
      <c r="F251" t="s">
        <v>18</v>
      </c>
      <c r="G251" t="s">
        <v>25</v>
      </c>
      <c r="H251" t="s">
        <v>26</v>
      </c>
      <c r="I251" t="s">
        <v>17</v>
      </c>
      <c r="J251" t="s">
        <v>22</v>
      </c>
    </row>
    <row r="252" spans="1:15">
      <c r="A252" t="s">
        <v>75</v>
      </c>
      <c r="B252">
        <f t="shared" si="14"/>
        <v>0.43478260869565222</v>
      </c>
      <c r="C252">
        <f t="shared" si="15"/>
        <v>2.7173913043478264E-2</v>
      </c>
      <c r="D252">
        <v>-0.2</v>
      </c>
      <c r="E252" t="s">
        <v>83</v>
      </c>
      <c r="F252" t="s">
        <v>19</v>
      </c>
      <c r="G252" t="s">
        <v>25</v>
      </c>
      <c r="H252" t="s">
        <v>17</v>
      </c>
      <c r="I252" t="s">
        <v>22</v>
      </c>
      <c r="J252" t="s">
        <v>20</v>
      </c>
    </row>
    <row r="253" spans="1:15">
      <c r="A253" t="s">
        <v>75</v>
      </c>
      <c r="B253">
        <f t="shared" si="14"/>
        <v>0.43478260869565222</v>
      </c>
      <c r="C253">
        <f t="shared" si="15"/>
        <v>2.7173913043478264E-2</v>
      </c>
      <c r="D253">
        <v>-0.3</v>
      </c>
      <c r="E253" t="s">
        <v>83</v>
      </c>
      <c r="F253" t="s">
        <v>22</v>
      </c>
      <c r="G253" t="s">
        <v>21</v>
      </c>
      <c r="H253" t="s">
        <v>25</v>
      </c>
      <c r="I253" t="s">
        <v>19</v>
      </c>
      <c r="J253" t="s">
        <v>17</v>
      </c>
    </row>
    <row r="254" spans="1:15">
      <c r="A254" t="s">
        <v>76</v>
      </c>
      <c r="B254">
        <f>1/3.95</f>
        <v>0.25316455696202528</v>
      </c>
      <c r="C254">
        <f>1/16/3.95</f>
        <v>1.582278481012658E-2</v>
      </c>
      <c r="D254">
        <v>1.7</v>
      </c>
      <c r="E254" t="s">
        <v>83</v>
      </c>
      <c r="F254" t="s">
        <v>25</v>
      </c>
      <c r="G254" t="s">
        <v>17</v>
      </c>
      <c r="H254" t="s">
        <v>24</v>
      </c>
      <c r="I254" t="s">
        <v>26</v>
      </c>
      <c r="J254" t="s">
        <v>22</v>
      </c>
      <c r="K254" t="s">
        <v>25</v>
      </c>
      <c r="L254" t="s">
        <v>17</v>
      </c>
      <c r="M254" t="s">
        <v>24</v>
      </c>
      <c r="N254" t="s">
        <v>26</v>
      </c>
      <c r="O254" t="s">
        <v>22</v>
      </c>
    </row>
    <row r="255" spans="1:15">
      <c r="A255" t="s">
        <v>76</v>
      </c>
      <c r="B255">
        <f t="shared" ref="B255:B274" si="16">1/3.95</f>
        <v>0.25316455696202528</v>
      </c>
      <c r="C255">
        <f t="shared" ref="C255:C274" si="17">1/16/3.95</f>
        <v>1.582278481012658E-2</v>
      </c>
      <c r="D255">
        <v>1.6</v>
      </c>
      <c r="E255" t="s">
        <v>83</v>
      </c>
      <c r="F255" t="s">
        <v>24</v>
      </c>
      <c r="G255" t="s">
        <v>20</v>
      </c>
      <c r="H255" t="s">
        <v>22</v>
      </c>
      <c r="I255" t="s">
        <v>21</v>
      </c>
      <c r="J255" t="s">
        <v>17</v>
      </c>
      <c r="K255" t="s">
        <v>24</v>
      </c>
      <c r="L255" t="s">
        <v>20</v>
      </c>
      <c r="M255" t="s">
        <v>22</v>
      </c>
      <c r="N255" t="s">
        <v>21</v>
      </c>
      <c r="O255" t="s">
        <v>17</v>
      </c>
    </row>
    <row r="256" spans="1:15">
      <c r="A256" t="s">
        <v>76</v>
      </c>
      <c r="B256">
        <f t="shared" si="16"/>
        <v>0.25316455696202528</v>
      </c>
      <c r="C256">
        <f t="shared" si="17"/>
        <v>1.582278481012658E-2</v>
      </c>
      <c r="D256">
        <v>1.5</v>
      </c>
      <c r="E256" t="s">
        <v>83</v>
      </c>
      <c r="F256" t="s">
        <v>22</v>
      </c>
      <c r="G256" t="s">
        <v>26</v>
      </c>
      <c r="H256" t="s">
        <v>23</v>
      </c>
      <c r="I256" t="s">
        <v>21</v>
      </c>
      <c r="J256" t="s">
        <v>25</v>
      </c>
      <c r="K256" t="s">
        <v>22</v>
      </c>
      <c r="L256" t="s">
        <v>26</v>
      </c>
      <c r="M256" t="s">
        <v>23</v>
      </c>
      <c r="N256" t="s">
        <v>21</v>
      </c>
      <c r="O256" t="s">
        <v>25</v>
      </c>
    </row>
    <row r="257" spans="1:15">
      <c r="A257" t="s">
        <v>76</v>
      </c>
      <c r="B257">
        <f t="shared" si="16"/>
        <v>0.25316455696202528</v>
      </c>
      <c r="C257">
        <f t="shared" si="17"/>
        <v>1.582278481012658E-2</v>
      </c>
      <c r="D257">
        <v>1.4</v>
      </c>
      <c r="E257" t="s">
        <v>83</v>
      </c>
      <c r="F257" t="s">
        <v>23</v>
      </c>
      <c r="G257" t="s">
        <v>20</v>
      </c>
      <c r="H257" t="s">
        <v>17</v>
      </c>
      <c r="I257" t="s">
        <v>24</v>
      </c>
      <c r="J257" t="s">
        <v>25</v>
      </c>
      <c r="K257" t="s">
        <v>23</v>
      </c>
      <c r="L257" t="s">
        <v>20</v>
      </c>
      <c r="M257" t="s">
        <v>17</v>
      </c>
      <c r="N257" t="s">
        <v>24</v>
      </c>
      <c r="O257" t="s">
        <v>25</v>
      </c>
    </row>
    <row r="258" spans="1:15">
      <c r="A258" t="s">
        <v>76</v>
      </c>
      <c r="B258">
        <f t="shared" si="16"/>
        <v>0.25316455696202528</v>
      </c>
      <c r="C258">
        <f t="shared" si="17"/>
        <v>1.582278481012658E-2</v>
      </c>
      <c r="D258">
        <v>1.3</v>
      </c>
      <c r="E258" t="s">
        <v>83</v>
      </c>
      <c r="F258" t="s">
        <v>26</v>
      </c>
      <c r="G258" t="s">
        <v>20</v>
      </c>
      <c r="H258" t="s">
        <v>24</v>
      </c>
      <c r="I258" t="s">
        <v>18</v>
      </c>
      <c r="J258" t="s">
        <v>25</v>
      </c>
      <c r="K258" t="s">
        <v>26</v>
      </c>
      <c r="L258" t="s">
        <v>20</v>
      </c>
      <c r="M258" t="s">
        <v>24</v>
      </c>
      <c r="N258" t="s">
        <v>18</v>
      </c>
      <c r="O258" t="s">
        <v>25</v>
      </c>
    </row>
    <row r="259" spans="1:15">
      <c r="A259" t="s">
        <v>76</v>
      </c>
      <c r="B259">
        <f t="shared" si="16"/>
        <v>0.25316455696202528</v>
      </c>
      <c r="C259">
        <f t="shared" si="17"/>
        <v>1.582278481012658E-2</v>
      </c>
      <c r="D259">
        <v>1.2</v>
      </c>
      <c r="E259" t="s">
        <v>83</v>
      </c>
      <c r="F259" t="s">
        <v>19</v>
      </c>
      <c r="G259" t="s">
        <v>21</v>
      </c>
      <c r="H259" t="s">
        <v>20</v>
      </c>
      <c r="I259" t="s">
        <v>24</v>
      </c>
      <c r="J259" t="s">
        <v>18</v>
      </c>
      <c r="K259" t="s">
        <v>19</v>
      </c>
      <c r="L259" t="s">
        <v>21</v>
      </c>
      <c r="M259" t="s">
        <v>20</v>
      </c>
      <c r="N259" t="s">
        <v>24</v>
      </c>
      <c r="O259" t="s">
        <v>18</v>
      </c>
    </row>
    <row r="260" spans="1:15">
      <c r="A260" t="s">
        <v>76</v>
      </c>
      <c r="B260">
        <f t="shared" si="16"/>
        <v>0.25316455696202528</v>
      </c>
      <c r="C260">
        <f t="shared" si="17"/>
        <v>1.582278481012658E-2</v>
      </c>
      <c r="D260">
        <v>1.1000000000000001</v>
      </c>
      <c r="E260" t="s">
        <v>83</v>
      </c>
      <c r="F260" t="s">
        <v>26</v>
      </c>
      <c r="G260" t="s">
        <v>19</v>
      </c>
      <c r="H260" t="s">
        <v>20</v>
      </c>
      <c r="I260" t="s">
        <v>24</v>
      </c>
      <c r="J260" t="s">
        <v>25</v>
      </c>
      <c r="K260" t="s">
        <v>26</v>
      </c>
      <c r="L260" t="s">
        <v>19</v>
      </c>
      <c r="M260" t="s">
        <v>20</v>
      </c>
      <c r="N260" t="s">
        <v>24</v>
      </c>
      <c r="O260" t="s">
        <v>25</v>
      </c>
    </row>
    <row r="261" spans="1:15">
      <c r="A261" t="s">
        <v>76</v>
      </c>
      <c r="B261">
        <f t="shared" si="16"/>
        <v>0.25316455696202528</v>
      </c>
      <c r="C261">
        <f t="shared" si="17"/>
        <v>1.582278481012658E-2</v>
      </c>
      <c r="D261">
        <v>1</v>
      </c>
      <c r="E261" t="s">
        <v>83</v>
      </c>
      <c r="F261" t="s">
        <v>23</v>
      </c>
      <c r="G261" t="s">
        <v>18</v>
      </c>
      <c r="H261" t="s">
        <v>26</v>
      </c>
      <c r="I261" t="s">
        <v>24</v>
      </c>
      <c r="J261" t="s">
        <v>20</v>
      </c>
    </row>
    <row r="262" spans="1:15">
      <c r="A262" t="s">
        <v>76</v>
      </c>
      <c r="B262">
        <f t="shared" si="16"/>
        <v>0.25316455696202528</v>
      </c>
      <c r="C262">
        <f t="shared" si="17"/>
        <v>1.582278481012658E-2</v>
      </c>
      <c r="D262">
        <v>0.90000000000000102</v>
      </c>
      <c r="E262" t="s">
        <v>83</v>
      </c>
      <c r="F262" t="s">
        <v>20</v>
      </c>
      <c r="G262" t="s">
        <v>17</v>
      </c>
      <c r="H262" t="s">
        <v>24</v>
      </c>
      <c r="I262" t="s">
        <v>21</v>
      </c>
      <c r="J262" t="s">
        <v>22</v>
      </c>
    </row>
    <row r="263" spans="1:15">
      <c r="A263" t="s">
        <v>76</v>
      </c>
      <c r="B263">
        <f t="shared" si="16"/>
        <v>0.25316455696202528</v>
      </c>
      <c r="C263">
        <f t="shared" si="17"/>
        <v>1.582278481012658E-2</v>
      </c>
      <c r="D263">
        <v>0.80000000000000104</v>
      </c>
      <c r="E263" t="s">
        <v>83</v>
      </c>
      <c r="F263" t="s">
        <v>20</v>
      </c>
      <c r="G263" t="s">
        <v>22</v>
      </c>
      <c r="H263" t="s">
        <v>25</v>
      </c>
      <c r="I263" t="s">
        <v>21</v>
      </c>
      <c r="J263" t="s">
        <v>26</v>
      </c>
    </row>
    <row r="264" spans="1:15">
      <c r="A264" t="s">
        <v>76</v>
      </c>
      <c r="B264">
        <f t="shared" si="16"/>
        <v>0.25316455696202528</v>
      </c>
      <c r="C264">
        <f t="shared" si="17"/>
        <v>1.582278481012658E-2</v>
      </c>
      <c r="D264">
        <v>0.70000000000000095</v>
      </c>
      <c r="E264" t="s">
        <v>83</v>
      </c>
      <c r="F264" t="s">
        <v>22</v>
      </c>
      <c r="G264" t="s">
        <v>19</v>
      </c>
      <c r="H264" t="s">
        <v>18</v>
      </c>
      <c r="I264" t="s">
        <v>25</v>
      </c>
      <c r="J264" t="s">
        <v>26</v>
      </c>
    </row>
    <row r="265" spans="1:15">
      <c r="A265" t="s">
        <v>76</v>
      </c>
      <c r="B265">
        <f t="shared" si="16"/>
        <v>0.25316455696202528</v>
      </c>
      <c r="C265">
        <f t="shared" si="17"/>
        <v>1.582278481012658E-2</v>
      </c>
      <c r="D265">
        <v>0.6</v>
      </c>
      <c r="E265" t="s">
        <v>83</v>
      </c>
      <c r="F265" t="s">
        <v>24</v>
      </c>
      <c r="G265" t="s">
        <v>25</v>
      </c>
      <c r="H265" t="s">
        <v>17</v>
      </c>
      <c r="I265" t="s">
        <v>19</v>
      </c>
      <c r="J265" t="s">
        <v>21</v>
      </c>
    </row>
    <row r="266" spans="1:15">
      <c r="A266" t="s">
        <v>76</v>
      </c>
      <c r="B266">
        <f t="shared" si="16"/>
        <v>0.25316455696202528</v>
      </c>
      <c r="C266">
        <f t="shared" si="17"/>
        <v>1.582278481012658E-2</v>
      </c>
      <c r="D266">
        <v>0.5</v>
      </c>
      <c r="E266" t="s">
        <v>83</v>
      </c>
      <c r="F266" t="s">
        <v>24</v>
      </c>
      <c r="G266" t="s">
        <v>20</v>
      </c>
      <c r="H266" t="s">
        <v>26</v>
      </c>
      <c r="I266" t="s">
        <v>23</v>
      </c>
      <c r="J266" t="s">
        <v>18</v>
      </c>
    </row>
    <row r="267" spans="1:15">
      <c r="A267" t="s">
        <v>76</v>
      </c>
      <c r="B267">
        <f t="shared" si="16"/>
        <v>0.25316455696202528</v>
      </c>
      <c r="C267">
        <f t="shared" si="17"/>
        <v>1.582278481012658E-2</v>
      </c>
      <c r="D267">
        <v>0.4</v>
      </c>
      <c r="E267" t="s">
        <v>83</v>
      </c>
      <c r="F267" t="s">
        <v>17</v>
      </c>
      <c r="G267" t="s">
        <v>18</v>
      </c>
      <c r="H267" t="s">
        <v>19</v>
      </c>
      <c r="I267" t="s">
        <v>25</v>
      </c>
      <c r="J267" t="s">
        <v>21</v>
      </c>
    </row>
    <row r="268" spans="1:15">
      <c r="A268" t="s">
        <v>76</v>
      </c>
      <c r="B268">
        <f t="shared" si="16"/>
        <v>0.25316455696202528</v>
      </c>
      <c r="C268">
        <f t="shared" si="17"/>
        <v>1.582278481012658E-2</v>
      </c>
      <c r="D268">
        <v>0.3</v>
      </c>
      <c r="E268" t="s">
        <v>83</v>
      </c>
      <c r="F268" t="s">
        <v>24</v>
      </c>
      <c r="G268" t="s">
        <v>19</v>
      </c>
      <c r="H268" t="s">
        <v>18</v>
      </c>
      <c r="I268" t="s">
        <v>21</v>
      </c>
      <c r="J268" t="s">
        <v>17</v>
      </c>
    </row>
    <row r="269" spans="1:15">
      <c r="A269" t="s">
        <v>76</v>
      </c>
      <c r="B269">
        <f t="shared" si="16"/>
        <v>0.25316455696202528</v>
      </c>
      <c r="C269">
        <f t="shared" si="17"/>
        <v>1.582278481012658E-2</v>
      </c>
      <c r="D269">
        <v>0.2</v>
      </c>
      <c r="E269" t="s">
        <v>83</v>
      </c>
      <c r="F269" t="s">
        <v>19</v>
      </c>
      <c r="G269" t="s">
        <v>26</v>
      </c>
      <c r="H269" t="s">
        <v>20</v>
      </c>
      <c r="I269" t="s">
        <v>22</v>
      </c>
      <c r="J269" t="s">
        <v>25</v>
      </c>
    </row>
    <row r="270" spans="1:15">
      <c r="A270" t="s">
        <v>76</v>
      </c>
      <c r="B270">
        <f t="shared" si="16"/>
        <v>0.25316455696202528</v>
      </c>
      <c r="C270">
        <f t="shared" si="17"/>
        <v>1.582278481012658E-2</v>
      </c>
      <c r="D270">
        <v>9.9999999999999895E-2</v>
      </c>
      <c r="E270" t="s">
        <v>83</v>
      </c>
      <c r="F270" t="s">
        <v>21</v>
      </c>
      <c r="G270" t="s">
        <v>18</v>
      </c>
      <c r="H270" t="s">
        <v>22</v>
      </c>
      <c r="I270" t="s">
        <v>25</v>
      </c>
      <c r="J270" t="s">
        <v>17</v>
      </c>
    </row>
    <row r="271" spans="1:15">
      <c r="A271" t="s">
        <v>76</v>
      </c>
      <c r="B271">
        <f t="shared" si="16"/>
        <v>0.25316455696202528</v>
      </c>
      <c r="C271">
        <f t="shared" si="17"/>
        <v>1.582278481012658E-2</v>
      </c>
      <c r="D271">
        <v>0</v>
      </c>
      <c r="E271" t="s">
        <v>83</v>
      </c>
      <c r="F271" t="s">
        <v>21</v>
      </c>
      <c r="G271" t="s">
        <v>26</v>
      </c>
      <c r="H271" t="s">
        <v>23</v>
      </c>
      <c r="I271" t="s">
        <v>24</v>
      </c>
      <c r="J271" t="s">
        <v>20</v>
      </c>
    </row>
    <row r="272" spans="1:15">
      <c r="A272" t="s">
        <v>76</v>
      </c>
      <c r="B272">
        <f t="shared" si="16"/>
        <v>0.25316455696202528</v>
      </c>
      <c r="C272">
        <f t="shared" si="17"/>
        <v>1.582278481012658E-2</v>
      </c>
      <c r="D272">
        <v>-0.1</v>
      </c>
      <c r="E272" t="s">
        <v>83</v>
      </c>
      <c r="F272" t="s">
        <v>17</v>
      </c>
      <c r="G272" t="s">
        <v>24</v>
      </c>
      <c r="H272" t="s">
        <v>25</v>
      </c>
      <c r="I272" t="s">
        <v>19</v>
      </c>
      <c r="J272" t="s">
        <v>26</v>
      </c>
    </row>
    <row r="273" spans="1:15">
      <c r="A273" t="s">
        <v>76</v>
      </c>
      <c r="B273">
        <f t="shared" si="16"/>
        <v>0.25316455696202528</v>
      </c>
      <c r="C273">
        <f t="shared" si="17"/>
        <v>1.582278481012658E-2</v>
      </c>
      <c r="D273">
        <v>-0.2</v>
      </c>
      <c r="E273" t="s">
        <v>83</v>
      </c>
      <c r="F273" t="s">
        <v>24</v>
      </c>
      <c r="G273" t="s">
        <v>26</v>
      </c>
      <c r="H273" t="s">
        <v>25</v>
      </c>
      <c r="I273" t="s">
        <v>20</v>
      </c>
      <c r="J273" t="s">
        <v>18</v>
      </c>
    </row>
    <row r="274" spans="1:15">
      <c r="A274" t="s">
        <v>76</v>
      </c>
      <c r="B274">
        <f t="shared" si="16"/>
        <v>0.25316455696202528</v>
      </c>
      <c r="C274">
        <f t="shared" si="17"/>
        <v>1.582278481012658E-2</v>
      </c>
      <c r="D274">
        <v>-0.3</v>
      </c>
      <c r="E274" t="s">
        <v>83</v>
      </c>
      <c r="F274" t="s">
        <v>25</v>
      </c>
      <c r="G274" t="s">
        <v>22</v>
      </c>
      <c r="H274" t="s">
        <v>21</v>
      </c>
      <c r="I274" t="s">
        <v>24</v>
      </c>
      <c r="J274" t="s">
        <v>17</v>
      </c>
    </row>
    <row r="275" spans="1:15">
      <c r="A275" t="s">
        <v>77</v>
      </c>
      <c r="B275">
        <f>1/6.61</f>
        <v>0.15128593040847199</v>
      </c>
      <c r="C275">
        <f>1/16/6.61</f>
        <v>9.4553706505294995E-3</v>
      </c>
      <c r="D275">
        <v>1.7</v>
      </c>
      <c r="E275" t="s">
        <v>83</v>
      </c>
      <c r="F275" t="s">
        <v>24</v>
      </c>
      <c r="G275" t="s">
        <v>18</v>
      </c>
      <c r="H275" t="s">
        <v>25</v>
      </c>
      <c r="I275" t="s">
        <v>21</v>
      </c>
      <c r="J275" t="s">
        <v>20</v>
      </c>
      <c r="L275" t="s">
        <v>18</v>
      </c>
      <c r="M275" t="s">
        <v>25</v>
      </c>
      <c r="N275" t="s">
        <v>21</v>
      </c>
    </row>
    <row r="276" spans="1:15">
      <c r="A276" t="s">
        <v>77</v>
      </c>
      <c r="B276">
        <f t="shared" ref="B276:B295" si="18">1/6.61</f>
        <v>0.15128593040847199</v>
      </c>
      <c r="C276">
        <f t="shared" ref="C276:C295" si="19">1/16/6.61</f>
        <v>9.4553706505294995E-3</v>
      </c>
      <c r="D276">
        <v>1.6</v>
      </c>
      <c r="E276" t="s">
        <v>83</v>
      </c>
      <c r="F276" t="s">
        <v>18</v>
      </c>
      <c r="G276" t="s">
        <v>19</v>
      </c>
      <c r="H276" t="s">
        <v>22</v>
      </c>
      <c r="I276" t="s">
        <v>17</v>
      </c>
      <c r="J276" t="s">
        <v>26</v>
      </c>
      <c r="K276" t="s">
        <v>18</v>
      </c>
      <c r="M276" t="s">
        <v>22</v>
      </c>
      <c r="N276" t="s">
        <v>17</v>
      </c>
      <c r="O276" t="s">
        <v>26</v>
      </c>
    </row>
    <row r="277" spans="1:15">
      <c r="A277" t="s">
        <v>77</v>
      </c>
      <c r="B277">
        <f t="shared" si="18"/>
        <v>0.15128593040847199</v>
      </c>
      <c r="C277">
        <f t="shared" si="19"/>
        <v>9.4553706505294995E-3</v>
      </c>
      <c r="D277">
        <v>1.5</v>
      </c>
      <c r="E277" t="s">
        <v>83</v>
      </c>
      <c r="F277" t="s">
        <v>20</v>
      </c>
      <c r="G277" t="s">
        <v>21</v>
      </c>
      <c r="H277" t="s">
        <v>22</v>
      </c>
      <c r="I277" t="s">
        <v>26</v>
      </c>
      <c r="J277" t="s">
        <v>18</v>
      </c>
      <c r="K277" t="s">
        <v>20</v>
      </c>
    </row>
    <row r="278" spans="1:15">
      <c r="A278" t="s">
        <v>77</v>
      </c>
      <c r="B278">
        <f t="shared" si="18"/>
        <v>0.15128593040847199</v>
      </c>
      <c r="C278">
        <f t="shared" si="19"/>
        <v>9.4553706505294995E-3</v>
      </c>
      <c r="D278">
        <v>1.4</v>
      </c>
      <c r="E278" t="s">
        <v>83</v>
      </c>
      <c r="F278" t="s">
        <v>25</v>
      </c>
      <c r="G278" t="s">
        <v>23</v>
      </c>
      <c r="H278" t="s">
        <v>19</v>
      </c>
      <c r="I278" t="s">
        <v>20</v>
      </c>
      <c r="J278" t="s">
        <v>17</v>
      </c>
    </row>
    <row r="279" spans="1:15">
      <c r="A279" t="s">
        <v>77</v>
      </c>
      <c r="B279">
        <f t="shared" si="18"/>
        <v>0.15128593040847199</v>
      </c>
      <c r="C279">
        <f t="shared" si="19"/>
        <v>9.4553706505294995E-3</v>
      </c>
      <c r="D279">
        <v>1.3</v>
      </c>
      <c r="E279" t="s">
        <v>83</v>
      </c>
      <c r="F279" t="s">
        <v>25</v>
      </c>
      <c r="G279" t="s">
        <v>19</v>
      </c>
      <c r="H279" t="s">
        <v>18</v>
      </c>
      <c r="I279" t="s">
        <v>20</v>
      </c>
      <c r="J279" t="s">
        <v>24</v>
      </c>
    </row>
    <row r="280" spans="1:15">
      <c r="A280" t="s">
        <v>77</v>
      </c>
      <c r="B280">
        <f t="shared" si="18"/>
        <v>0.15128593040847199</v>
      </c>
      <c r="C280">
        <f t="shared" si="19"/>
        <v>9.4553706505294995E-3</v>
      </c>
      <c r="D280">
        <v>1.2</v>
      </c>
      <c r="E280" t="s">
        <v>83</v>
      </c>
      <c r="F280" t="s">
        <v>25</v>
      </c>
      <c r="G280" t="s">
        <v>19</v>
      </c>
      <c r="H280" t="s">
        <v>21</v>
      </c>
      <c r="I280" t="s">
        <v>22</v>
      </c>
      <c r="J280" t="s">
        <v>18</v>
      </c>
    </row>
    <row r="281" spans="1:15">
      <c r="A281" t="s">
        <v>77</v>
      </c>
      <c r="B281">
        <f t="shared" si="18"/>
        <v>0.15128593040847199</v>
      </c>
      <c r="C281">
        <f t="shared" si="19"/>
        <v>9.4553706505294995E-3</v>
      </c>
      <c r="D281">
        <v>1.1000000000000001</v>
      </c>
      <c r="E281" t="s">
        <v>83</v>
      </c>
      <c r="F281" t="s">
        <v>21</v>
      </c>
      <c r="G281" t="s">
        <v>17</v>
      </c>
      <c r="H281" t="s">
        <v>22</v>
      </c>
      <c r="I281" t="s">
        <v>24</v>
      </c>
      <c r="J281" t="s">
        <v>19</v>
      </c>
    </row>
    <row r="282" spans="1:15">
      <c r="A282" t="s">
        <v>77</v>
      </c>
      <c r="B282">
        <f t="shared" si="18"/>
        <v>0.15128593040847199</v>
      </c>
      <c r="C282">
        <f t="shared" si="19"/>
        <v>9.4553706505294995E-3</v>
      </c>
      <c r="D282">
        <v>1</v>
      </c>
      <c r="E282" t="s">
        <v>83</v>
      </c>
      <c r="F282" t="s">
        <v>20</v>
      </c>
      <c r="G282" t="s">
        <v>21</v>
      </c>
      <c r="H282" t="s">
        <v>23</v>
      </c>
      <c r="I282" t="s">
        <v>26</v>
      </c>
      <c r="J282" t="s">
        <v>25</v>
      </c>
    </row>
    <row r="283" spans="1:15">
      <c r="A283" t="s">
        <v>77</v>
      </c>
      <c r="B283">
        <f t="shared" si="18"/>
        <v>0.15128593040847199</v>
      </c>
      <c r="C283">
        <f t="shared" si="19"/>
        <v>9.4553706505294995E-3</v>
      </c>
      <c r="D283">
        <v>0.90000000000000102</v>
      </c>
      <c r="E283" t="s">
        <v>83</v>
      </c>
      <c r="F283" t="s">
        <v>19</v>
      </c>
      <c r="G283" t="s">
        <v>24</v>
      </c>
      <c r="H283" t="s">
        <v>18</v>
      </c>
      <c r="I283" t="s">
        <v>22</v>
      </c>
      <c r="J283" t="s">
        <v>25</v>
      </c>
    </row>
    <row r="284" spans="1:15">
      <c r="A284" t="s">
        <v>77</v>
      </c>
      <c r="B284">
        <f t="shared" si="18"/>
        <v>0.15128593040847199</v>
      </c>
      <c r="C284">
        <f t="shared" si="19"/>
        <v>9.4553706505294995E-3</v>
      </c>
      <c r="D284">
        <v>0.80000000000000104</v>
      </c>
      <c r="E284" t="s">
        <v>83</v>
      </c>
      <c r="F284" t="s">
        <v>24</v>
      </c>
      <c r="G284" t="s">
        <v>19</v>
      </c>
      <c r="H284" t="s">
        <v>18</v>
      </c>
      <c r="I284" t="s">
        <v>22</v>
      </c>
      <c r="J284" t="s">
        <v>21</v>
      </c>
    </row>
    <row r="285" spans="1:15">
      <c r="A285" t="s">
        <v>77</v>
      </c>
      <c r="B285">
        <f t="shared" si="18"/>
        <v>0.15128593040847199</v>
      </c>
      <c r="C285">
        <f t="shared" si="19"/>
        <v>9.4553706505294995E-3</v>
      </c>
      <c r="D285">
        <v>0.70000000000000095</v>
      </c>
      <c r="E285" t="s">
        <v>83</v>
      </c>
      <c r="F285" t="s">
        <v>19</v>
      </c>
      <c r="G285" t="s">
        <v>20</v>
      </c>
      <c r="H285" t="s">
        <v>18</v>
      </c>
      <c r="I285" t="s">
        <v>25</v>
      </c>
      <c r="J285" t="s">
        <v>26</v>
      </c>
    </row>
    <row r="286" spans="1:15">
      <c r="A286" t="s">
        <v>77</v>
      </c>
      <c r="B286">
        <f t="shared" si="18"/>
        <v>0.15128593040847199</v>
      </c>
      <c r="C286">
        <f t="shared" si="19"/>
        <v>9.4553706505294995E-3</v>
      </c>
      <c r="D286">
        <v>0.6</v>
      </c>
      <c r="E286" t="s">
        <v>83</v>
      </c>
      <c r="F286" t="s">
        <v>23</v>
      </c>
      <c r="G286" t="s">
        <v>24</v>
      </c>
      <c r="H286" t="s">
        <v>25</v>
      </c>
      <c r="I286" t="s">
        <v>17</v>
      </c>
      <c r="J286" t="s">
        <v>21</v>
      </c>
    </row>
    <row r="287" spans="1:15">
      <c r="A287" t="s">
        <v>77</v>
      </c>
      <c r="B287">
        <f t="shared" si="18"/>
        <v>0.15128593040847199</v>
      </c>
      <c r="C287">
        <f t="shared" si="19"/>
        <v>9.4553706505294995E-3</v>
      </c>
      <c r="D287">
        <v>0.5</v>
      </c>
      <c r="E287" t="s">
        <v>83</v>
      </c>
      <c r="F287" t="s">
        <v>17</v>
      </c>
      <c r="G287" t="s">
        <v>22</v>
      </c>
      <c r="H287" t="s">
        <v>19</v>
      </c>
      <c r="I287" t="s">
        <v>20</v>
      </c>
      <c r="J287" t="s">
        <v>18</v>
      </c>
    </row>
    <row r="288" spans="1:15">
      <c r="A288" t="s">
        <v>77</v>
      </c>
      <c r="B288">
        <f t="shared" si="18"/>
        <v>0.15128593040847199</v>
      </c>
      <c r="C288">
        <f t="shared" si="19"/>
        <v>9.4553706505294995E-3</v>
      </c>
      <c r="D288">
        <v>0.4</v>
      </c>
      <c r="E288" t="s">
        <v>83</v>
      </c>
      <c r="F288" t="s">
        <v>24</v>
      </c>
      <c r="G288" t="s">
        <v>20</v>
      </c>
      <c r="H288" t="s">
        <v>17</v>
      </c>
      <c r="I288" t="s">
        <v>23</v>
      </c>
      <c r="J288" t="s">
        <v>18</v>
      </c>
    </row>
    <row r="289" spans="1:14">
      <c r="A289" t="s">
        <v>77</v>
      </c>
      <c r="B289">
        <f t="shared" si="18"/>
        <v>0.15128593040847199</v>
      </c>
      <c r="C289">
        <f t="shared" si="19"/>
        <v>9.4553706505294995E-3</v>
      </c>
      <c r="D289">
        <v>0.3</v>
      </c>
      <c r="E289" t="s">
        <v>83</v>
      </c>
      <c r="F289" t="s">
        <v>22</v>
      </c>
      <c r="G289" t="s">
        <v>21</v>
      </c>
      <c r="H289" t="s">
        <v>18</v>
      </c>
      <c r="I289" t="s">
        <v>20</v>
      </c>
      <c r="J289" t="s">
        <v>17</v>
      </c>
    </row>
    <row r="290" spans="1:14">
      <c r="A290" t="s">
        <v>77</v>
      </c>
      <c r="B290">
        <f t="shared" si="18"/>
        <v>0.15128593040847199</v>
      </c>
      <c r="C290">
        <f t="shared" si="19"/>
        <v>9.4553706505294995E-3</v>
      </c>
      <c r="D290">
        <v>0.2</v>
      </c>
      <c r="E290" t="s">
        <v>83</v>
      </c>
      <c r="F290" t="s">
        <v>18</v>
      </c>
      <c r="G290" t="s">
        <v>19</v>
      </c>
      <c r="H290" t="s">
        <v>17</v>
      </c>
      <c r="I290" t="s">
        <v>21</v>
      </c>
      <c r="J290" t="s">
        <v>20</v>
      </c>
    </row>
    <row r="291" spans="1:14">
      <c r="A291" t="s">
        <v>77</v>
      </c>
      <c r="B291">
        <f t="shared" si="18"/>
        <v>0.15128593040847199</v>
      </c>
      <c r="C291">
        <f t="shared" si="19"/>
        <v>9.4553706505294995E-3</v>
      </c>
      <c r="D291">
        <v>9.9999999999999895E-2</v>
      </c>
      <c r="E291" t="s">
        <v>83</v>
      </c>
      <c r="F291" t="s">
        <v>24</v>
      </c>
      <c r="G291" t="s">
        <v>17</v>
      </c>
      <c r="H291" t="s">
        <v>19</v>
      </c>
      <c r="I291" t="s">
        <v>23</v>
      </c>
      <c r="J291" t="s">
        <v>20</v>
      </c>
    </row>
    <row r="292" spans="1:14">
      <c r="A292" t="s">
        <v>77</v>
      </c>
      <c r="B292">
        <f t="shared" si="18"/>
        <v>0.15128593040847199</v>
      </c>
      <c r="C292">
        <f t="shared" si="19"/>
        <v>9.4553706505294995E-3</v>
      </c>
      <c r="D292">
        <v>0</v>
      </c>
      <c r="E292" t="s">
        <v>83</v>
      </c>
      <c r="F292" t="s">
        <v>18</v>
      </c>
      <c r="G292" t="s">
        <v>25</v>
      </c>
      <c r="H292" t="s">
        <v>23</v>
      </c>
      <c r="I292" t="s">
        <v>22</v>
      </c>
      <c r="J292" t="s">
        <v>21</v>
      </c>
    </row>
    <row r="293" spans="1:14">
      <c r="A293" t="s">
        <v>77</v>
      </c>
      <c r="B293">
        <f t="shared" si="18"/>
        <v>0.15128593040847199</v>
      </c>
      <c r="C293">
        <f t="shared" si="19"/>
        <v>9.4553706505294995E-3</v>
      </c>
      <c r="D293">
        <v>-0.1</v>
      </c>
      <c r="E293" t="s">
        <v>83</v>
      </c>
      <c r="F293" t="s">
        <v>23</v>
      </c>
      <c r="G293" t="s">
        <v>21</v>
      </c>
      <c r="H293" t="s">
        <v>20</v>
      </c>
      <c r="I293" t="s">
        <v>22</v>
      </c>
      <c r="J293" t="s">
        <v>19</v>
      </c>
    </row>
    <row r="294" spans="1:14">
      <c r="A294" t="s">
        <v>77</v>
      </c>
      <c r="B294">
        <f t="shared" si="18"/>
        <v>0.15128593040847199</v>
      </c>
      <c r="C294">
        <f t="shared" si="19"/>
        <v>9.4553706505294995E-3</v>
      </c>
      <c r="D294">
        <v>-0.2</v>
      </c>
      <c r="E294" t="s">
        <v>83</v>
      </c>
      <c r="F294" t="s">
        <v>18</v>
      </c>
      <c r="G294" t="s">
        <v>17</v>
      </c>
      <c r="H294" t="s">
        <v>26</v>
      </c>
      <c r="I294" t="s">
        <v>25</v>
      </c>
      <c r="J294" t="s">
        <v>24</v>
      </c>
    </row>
    <row r="295" spans="1:14">
      <c r="A295" t="s">
        <v>77</v>
      </c>
      <c r="B295">
        <f t="shared" si="18"/>
        <v>0.15128593040847199</v>
      </c>
      <c r="C295">
        <f t="shared" si="19"/>
        <v>9.4553706505294995E-3</v>
      </c>
      <c r="D295">
        <v>-0.3</v>
      </c>
      <c r="E295" t="s">
        <v>83</v>
      </c>
      <c r="F295" t="s">
        <v>22</v>
      </c>
      <c r="G295" t="s">
        <v>19</v>
      </c>
      <c r="H295" t="s">
        <v>17</v>
      </c>
      <c r="I295" t="s">
        <v>26</v>
      </c>
      <c r="J295" t="s">
        <v>20</v>
      </c>
    </row>
    <row r="296" spans="1:14">
      <c r="A296" t="s">
        <v>78</v>
      </c>
      <c r="B296">
        <f>1/10.68</f>
        <v>9.3632958801498134E-2</v>
      </c>
      <c r="C296">
        <f>1/16/10.68</f>
        <v>5.8520599250936334E-3</v>
      </c>
      <c r="D296">
        <v>1.7</v>
      </c>
      <c r="E296" t="s">
        <v>83</v>
      </c>
      <c r="F296" t="s">
        <v>26</v>
      </c>
      <c r="G296" t="s">
        <v>22</v>
      </c>
      <c r="H296" t="s">
        <v>21</v>
      </c>
      <c r="I296" t="s">
        <v>20</v>
      </c>
      <c r="J296" t="s">
        <v>19</v>
      </c>
      <c r="M296" t="s">
        <v>21</v>
      </c>
      <c r="N296" t="s">
        <v>20</v>
      </c>
    </row>
    <row r="297" spans="1:14">
      <c r="A297" t="s">
        <v>78</v>
      </c>
      <c r="B297">
        <f t="shared" ref="B297:B316" si="20">1/10.68</f>
        <v>9.3632958801498134E-2</v>
      </c>
      <c r="C297">
        <f t="shared" ref="C297:C316" si="21">1/16/10.68</f>
        <v>5.8520599250936334E-3</v>
      </c>
      <c r="D297">
        <v>1.6</v>
      </c>
      <c r="E297" t="s">
        <v>83</v>
      </c>
      <c r="F297" t="s">
        <v>17</v>
      </c>
      <c r="G297" t="s">
        <v>26</v>
      </c>
      <c r="H297" t="s">
        <v>21</v>
      </c>
      <c r="I297" t="s">
        <v>25</v>
      </c>
      <c r="J297" t="s">
        <v>19</v>
      </c>
    </row>
    <row r="298" spans="1:14">
      <c r="A298" t="s">
        <v>78</v>
      </c>
      <c r="B298">
        <f t="shared" si="20"/>
        <v>9.3632958801498134E-2</v>
      </c>
      <c r="C298">
        <f t="shared" si="21"/>
        <v>5.8520599250936334E-3</v>
      </c>
      <c r="D298">
        <v>1.5</v>
      </c>
      <c r="E298" t="s">
        <v>83</v>
      </c>
      <c r="F298" t="s">
        <v>22</v>
      </c>
      <c r="G298" t="s">
        <v>19</v>
      </c>
      <c r="H298" t="s">
        <v>20</v>
      </c>
      <c r="I298" t="s">
        <v>18</v>
      </c>
      <c r="J298" t="s">
        <v>21</v>
      </c>
    </row>
    <row r="299" spans="1:14">
      <c r="A299" t="s">
        <v>78</v>
      </c>
      <c r="B299">
        <f t="shared" si="20"/>
        <v>9.3632958801498134E-2</v>
      </c>
      <c r="C299">
        <f t="shared" si="21"/>
        <v>5.8520599250936334E-3</v>
      </c>
      <c r="D299">
        <v>1.4</v>
      </c>
      <c r="E299" t="s">
        <v>83</v>
      </c>
      <c r="F299" t="s">
        <v>22</v>
      </c>
      <c r="G299" t="s">
        <v>26</v>
      </c>
      <c r="H299" t="s">
        <v>19</v>
      </c>
      <c r="I299" t="s">
        <v>25</v>
      </c>
      <c r="J299" t="s">
        <v>20</v>
      </c>
    </row>
    <row r="300" spans="1:14">
      <c r="A300" t="s">
        <v>78</v>
      </c>
      <c r="B300">
        <f t="shared" si="20"/>
        <v>9.3632958801498134E-2</v>
      </c>
      <c r="C300">
        <f t="shared" si="21"/>
        <v>5.8520599250936334E-3</v>
      </c>
      <c r="D300">
        <v>1.3</v>
      </c>
      <c r="E300" t="s">
        <v>83</v>
      </c>
      <c r="F300" t="s">
        <v>26</v>
      </c>
      <c r="G300" t="s">
        <v>22</v>
      </c>
      <c r="H300" t="s">
        <v>23</v>
      </c>
      <c r="I300" t="s">
        <v>21</v>
      </c>
      <c r="J300" t="s">
        <v>17</v>
      </c>
    </row>
    <row r="301" spans="1:14">
      <c r="A301" t="s">
        <v>78</v>
      </c>
      <c r="B301">
        <f t="shared" si="20"/>
        <v>9.3632958801498134E-2</v>
      </c>
      <c r="C301">
        <f t="shared" si="21"/>
        <v>5.8520599250936334E-3</v>
      </c>
      <c r="D301">
        <v>1.2</v>
      </c>
      <c r="E301" t="s">
        <v>83</v>
      </c>
      <c r="F301" t="s">
        <v>26</v>
      </c>
      <c r="G301" t="s">
        <v>24</v>
      </c>
      <c r="H301" t="s">
        <v>18</v>
      </c>
      <c r="I301" t="s">
        <v>23</v>
      </c>
      <c r="J301" t="s">
        <v>25</v>
      </c>
    </row>
    <row r="302" spans="1:14">
      <c r="A302" t="s">
        <v>78</v>
      </c>
      <c r="B302">
        <f t="shared" si="20"/>
        <v>9.3632958801498134E-2</v>
      </c>
      <c r="C302">
        <f t="shared" si="21"/>
        <v>5.8520599250936334E-3</v>
      </c>
      <c r="D302">
        <v>1.1000000000000001</v>
      </c>
      <c r="E302" t="s">
        <v>83</v>
      </c>
      <c r="F302" t="s">
        <v>24</v>
      </c>
      <c r="G302" t="s">
        <v>17</v>
      </c>
      <c r="H302" t="s">
        <v>23</v>
      </c>
      <c r="I302" t="s">
        <v>19</v>
      </c>
      <c r="J302" t="s">
        <v>18</v>
      </c>
    </row>
    <row r="303" spans="1:14">
      <c r="A303" t="s">
        <v>78</v>
      </c>
      <c r="B303">
        <f t="shared" si="20"/>
        <v>9.3632958801498134E-2</v>
      </c>
      <c r="C303">
        <f t="shared" si="21"/>
        <v>5.8520599250936334E-3</v>
      </c>
      <c r="D303">
        <v>1</v>
      </c>
      <c r="E303" t="s">
        <v>83</v>
      </c>
      <c r="F303" t="s">
        <v>22</v>
      </c>
      <c r="G303" t="s">
        <v>23</v>
      </c>
      <c r="H303" t="s">
        <v>17</v>
      </c>
      <c r="I303" t="s">
        <v>24</v>
      </c>
      <c r="J303" t="s">
        <v>19</v>
      </c>
    </row>
    <row r="304" spans="1:14">
      <c r="A304" t="s">
        <v>78</v>
      </c>
      <c r="B304">
        <f t="shared" si="20"/>
        <v>9.3632958801498134E-2</v>
      </c>
      <c r="C304">
        <f t="shared" si="21"/>
        <v>5.8520599250936334E-3</v>
      </c>
      <c r="D304">
        <v>0.90000000000000102</v>
      </c>
      <c r="E304" t="s">
        <v>83</v>
      </c>
      <c r="F304" t="s">
        <v>25</v>
      </c>
      <c r="G304" t="s">
        <v>17</v>
      </c>
      <c r="H304" t="s">
        <v>21</v>
      </c>
      <c r="I304" t="s">
        <v>18</v>
      </c>
      <c r="J304" t="s">
        <v>24</v>
      </c>
    </row>
    <row r="305" spans="1:10">
      <c r="A305" t="s">
        <v>78</v>
      </c>
      <c r="B305">
        <f t="shared" si="20"/>
        <v>9.3632958801498134E-2</v>
      </c>
      <c r="C305">
        <f t="shared" si="21"/>
        <v>5.8520599250936334E-3</v>
      </c>
      <c r="D305">
        <v>0.80000000000000104</v>
      </c>
      <c r="E305" t="s">
        <v>83</v>
      </c>
      <c r="F305" t="s">
        <v>24</v>
      </c>
      <c r="G305" t="s">
        <v>20</v>
      </c>
      <c r="H305" t="s">
        <v>23</v>
      </c>
      <c r="I305" t="s">
        <v>25</v>
      </c>
      <c r="J305" t="s">
        <v>26</v>
      </c>
    </row>
    <row r="306" spans="1:10">
      <c r="A306" t="s">
        <v>78</v>
      </c>
      <c r="B306">
        <f t="shared" si="20"/>
        <v>9.3632958801498134E-2</v>
      </c>
      <c r="C306">
        <f t="shared" si="21"/>
        <v>5.8520599250936334E-3</v>
      </c>
      <c r="D306">
        <v>0.70000000000000095</v>
      </c>
      <c r="E306" t="s">
        <v>83</v>
      </c>
      <c r="F306" t="s">
        <v>22</v>
      </c>
      <c r="G306" t="s">
        <v>20</v>
      </c>
      <c r="H306" t="s">
        <v>24</v>
      </c>
      <c r="I306" t="s">
        <v>23</v>
      </c>
      <c r="J306" t="s">
        <v>18</v>
      </c>
    </row>
    <row r="307" spans="1:10">
      <c r="A307" t="s">
        <v>78</v>
      </c>
      <c r="B307">
        <f t="shared" si="20"/>
        <v>9.3632958801498134E-2</v>
      </c>
      <c r="C307">
        <f t="shared" si="21"/>
        <v>5.8520599250936334E-3</v>
      </c>
      <c r="D307">
        <v>0.6</v>
      </c>
      <c r="E307" t="s">
        <v>83</v>
      </c>
      <c r="F307" t="s">
        <v>22</v>
      </c>
      <c r="G307" t="s">
        <v>24</v>
      </c>
      <c r="H307" t="s">
        <v>23</v>
      </c>
      <c r="I307" t="s">
        <v>17</v>
      </c>
      <c r="J307" t="s">
        <v>18</v>
      </c>
    </row>
    <row r="308" spans="1:10">
      <c r="A308" t="s">
        <v>78</v>
      </c>
      <c r="B308">
        <f t="shared" si="20"/>
        <v>9.3632958801498134E-2</v>
      </c>
      <c r="C308">
        <f t="shared" si="21"/>
        <v>5.8520599250936334E-3</v>
      </c>
      <c r="D308">
        <v>0.5</v>
      </c>
      <c r="E308" t="s">
        <v>83</v>
      </c>
      <c r="F308" t="s">
        <v>25</v>
      </c>
      <c r="G308" t="s">
        <v>24</v>
      </c>
      <c r="H308" t="s">
        <v>17</v>
      </c>
      <c r="I308" t="s">
        <v>20</v>
      </c>
      <c r="J308" t="s">
        <v>19</v>
      </c>
    </row>
    <row r="309" spans="1:10">
      <c r="A309" t="s">
        <v>78</v>
      </c>
      <c r="B309">
        <f t="shared" si="20"/>
        <v>9.3632958801498134E-2</v>
      </c>
      <c r="C309">
        <f t="shared" si="21"/>
        <v>5.8520599250936334E-3</v>
      </c>
      <c r="D309">
        <v>0.4</v>
      </c>
      <c r="E309" t="s">
        <v>83</v>
      </c>
      <c r="F309" t="s">
        <v>21</v>
      </c>
      <c r="G309" t="s">
        <v>25</v>
      </c>
      <c r="H309" t="s">
        <v>19</v>
      </c>
      <c r="I309" t="s">
        <v>22</v>
      </c>
      <c r="J309" t="s">
        <v>17</v>
      </c>
    </row>
    <row r="310" spans="1:10">
      <c r="A310" t="s">
        <v>78</v>
      </c>
      <c r="B310">
        <f t="shared" si="20"/>
        <v>9.3632958801498134E-2</v>
      </c>
      <c r="C310">
        <f t="shared" si="21"/>
        <v>5.8520599250936334E-3</v>
      </c>
      <c r="D310">
        <v>0.3</v>
      </c>
      <c r="E310" t="s">
        <v>83</v>
      </c>
      <c r="F310" t="s">
        <v>23</v>
      </c>
      <c r="G310" t="s">
        <v>24</v>
      </c>
      <c r="H310" t="s">
        <v>21</v>
      </c>
      <c r="I310" t="s">
        <v>17</v>
      </c>
      <c r="J310" t="s">
        <v>19</v>
      </c>
    </row>
    <row r="311" spans="1:10">
      <c r="A311" t="s">
        <v>78</v>
      </c>
      <c r="B311">
        <f t="shared" si="20"/>
        <v>9.3632958801498134E-2</v>
      </c>
      <c r="C311">
        <f t="shared" si="21"/>
        <v>5.8520599250936334E-3</v>
      </c>
      <c r="D311">
        <v>0.2</v>
      </c>
      <c r="E311" t="s">
        <v>83</v>
      </c>
      <c r="F311" t="s">
        <v>17</v>
      </c>
      <c r="G311" t="s">
        <v>18</v>
      </c>
      <c r="H311" t="s">
        <v>19</v>
      </c>
      <c r="I311" t="s">
        <v>22</v>
      </c>
      <c r="J311" t="s">
        <v>25</v>
      </c>
    </row>
    <row r="312" spans="1:10">
      <c r="A312" t="s">
        <v>78</v>
      </c>
      <c r="B312">
        <f t="shared" si="20"/>
        <v>9.3632958801498134E-2</v>
      </c>
      <c r="C312">
        <f t="shared" si="21"/>
        <v>5.8520599250936334E-3</v>
      </c>
      <c r="D312">
        <v>9.9999999999999895E-2</v>
      </c>
      <c r="E312" t="s">
        <v>83</v>
      </c>
      <c r="F312" t="s">
        <v>19</v>
      </c>
      <c r="G312" t="s">
        <v>23</v>
      </c>
      <c r="H312" t="s">
        <v>25</v>
      </c>
      <c r="I312" t="s">
        <v>17</v>
      </c>
      <c r="J312" t="s">
        <v>18</v>
      </c>
    </row>
    <row r="313" spans="1:10">
      <c r="A313" t="s">
        <v>78</v>
      </c>
      <c r="B313">
        <f t="shared" si="20"/>
        <v>9.3632958801498134E-2</v>
      </c>
      <c r="C313">
        <f t="shared" si="21"/>
        <v>5.8520599250936334E-3</v>
      </c>
      <c r="D313">
        <v>0</v>
      </c>
      <c r="E313" t="s">
        <v>83</v>
      </c>
      <c r="F313" t="s">
        <v>20</v>
      </c>
      <c r="G313" t="s">
        <v>25</v>
      </c>
      <c r="H313" t="s">
        <v>17</v>
      </c>
      <c r="I313" t="s">
        <v>22</v>
      </c>
      <c r="J313" t="s">
        <v>19</v>
      </c>
    </row>
    <row r="314" spans="1:10">
      <c r="A314" t="s">
        <v>78</v>
      </c>
      <c r="B314">
        <f t="shared" si="20"/>
        <v>9.3632958801498134E-2</v>
      </c>
      <c r="C314">
        <f t="shared" si="21"/>
        <v>5.8520599250936334E-3</v>
      </c>
      <c r="D314">
        <v>-0.1</v>
      </c>
      <c r="E314" t="s">
        <v>83</v>
      </c>
      <c r="F314" t="s">
        <v>25</v>
      </c>
      <c r="G314" t="s">
        <v>23</v>
      </c>
      <c r="H314" t="s">
        <v>26</v>
      </c>
      <c r="I314" t="s">
        <v>22</v>
      </c>
      <c r="J314" t="s">
        <v>18</v>
      </c>
    </row>
    <row r="315" spans="1:10">
      <c r="A315" t="s">
        <v>78</v>
      </c>
      <c r="B315">
        <f t="shared" si="20"/>
        <v>9.3632958801498134E-2</v>
      </c>
      <c r="C315">
        <f t="shared" si="21"/>
        <v>5.8520599250936334E-3</v>
      </c>
      <c r="D315">
        <v>-0.2</v>
      </c>
      <c r="E315" t="s">
        <v>83</v>
      </c>
      <c r="F315" t="s">
        <v>17</v>
      </c>
      <c r="G315" t="s">
        <v>21</v>
      </c>
      <c r="H315" t="s">
        <v>22</v>
      </c>
      <c r="I315" t="s">
        <v>18</v>
      </c>
      <c r="J315" t="s">
        <v>24</v>
      </c>
    </row>
    <row r="316" spans="1:10">
      <c r="A316" t="s">
        <v>78</v>
      </c>
      <c r="B316">
        <f t="shared" si="20"/>
        <v>9.3632958801498134E-2</v>
      </c>
      <c r="C316">
        <f t="shared" si="21"/>
        <v>5.8520599250936334E-3</v>
      </c>
      <c r="D316">
        <v>-0.3</v>
      </c>
      <c r="E316" t="s">
        <v>83</v>
      </c>
      <c r="F316" t="s">
        <v>20</v>
      </c>
      <c r="G316" t="s">
        <v>17</v>
      </c>
      <c r="H316" t="s">
        <v>19</v>
      </c>
      <c r="I316" t="s">
        <v>24</v>
      </c>
      <c r="J316" t="s">
        <v>25</v>
      </c>
    </row>
    <row r="317" spans="1:10">
      <c r="A317" t="s">
        <v>79</v>
      </c>
      <c r="B317">
        <f>1/16.62</f>
        <v>6.0168471720818288E-2</v>
      </c>
      <c r="C317">
        <f>1/16/16.62</f>
        <v>3.760529482551143E-3</v>
      </c>
      <c r="D317">
        <v>1.7</v>
      </c>
      <c r="E317" t="s">
        <v>83</v>
      </c>
      <c r="F317" t="s">
        <v>19</v>
      </c>
      <c r="G317" t="s">
        <v>24</v>
      </c>
      <c r="H317" t="s">
        <v>21</v>
      </c>
      <c r="I317" t="s">
        <v>22</v>
      </c>
      <c r="J317" t="s">
        <v>18</v>
      </c>
    </row>
    <row r="318" spans="1:10">
      <c r="A318" t="s">
        <v>79</v>
      </c>
      <c r="B318">
        <f t="shared" ref="B318:B337" si="22">1/16.62</f>
        <v>6.0168471720818288E-2</v>
      </c>
      <c r="C318">
        <f t="shared" ref="C318:C337" si="23">1/16/16.62</f>
        <v>3.760529482551143E-3</v>
      </c>
      <c r="D318">
        <v>1.6</v>
      </c>
      <c r="E318" t="s">
        <v>83</v>
      </c>
      <c r="F318" t="s">
        <v>21</v>
      </c>
      <c r="G318" t="s">
        <v>20</v>
      </c>
      <c r="H318" t="s">
        <v>22</v>
      </c>
      <c r="I318" t="s">
        <v>17</v>
      </c>
      <c r="J318" t="s">
        <v>18</v>
      </c>
    </row>
    <row r="319" spans="1:10">
      <c r="A319" t="s">
        <v>79</v>
      </c>
      <c r="B319">
        <f t="shared" si="22"/>
        <v>6.0168471720818288E-2</v>
      </c>
      <c r="C319">
        <f t="shared" si="23"/>
        <v>3.760529482551143E-3</v>
      </c>
      <c r="D319">
        <v>1.5</v>
      </c>
      <c r="E319" t="s">
        <v>83</v>
      </c>
      <c r="F319" t="s">
        <v>23</v>
      </c>
      <c r="G319" t="s">
        <v>24</v>
      </c>
      <c r="H319" t="s">
        <v>18</v>
      </c>
      <c r="I319" t="s">
        <v>21</v>
      </c>
      <c r="J319" t="s">
        <v>19</v>
      </c>
    </row>
    <row r="320" spans="1:10">
      <c r="A320" t="s">
        <v>79</v>
      </c>
      <c r="B320">
        <f t="shared" si="22"/>
        <v>6.0168471720818288E-2</v>
      </c>
      <c r="C320">
        <f t="shared" si="23"/>
        <v>3.760529482551143E-3</v>
      </c>
      <c r="D320">
        <v>1.4</v>
      </c>
      <c r="E320" t="s">
        <v>83</v>
      </c>
      <c r="F320" t="s">
        <v>25</v>
      </c>
      <c r="G320" t="s">
        <v>20</v>
      </c>
      <c r="H320" t="s">
        <v>26</v>
      </c>
      <c r="I320" t="s">
        <v>19</v>
      </c>
      <c r="J320" t="s">
        <v>18</v>
      </c>
    </row>
    <row r="321" spans="1:10">
      <c r="A321" t="s">
        <v>79</v>
      </c>
      <c r="B321">
        <f t="shared" si="22"/>
        <v>6.0168471720818288E-2</v>
      </c>
      <c r="C321">
        <f t="shared" si="23"/>
        <v>3.760529482551143E-3</v>
      </c>
      <c r="D321">
        <v>1.3</v>
      </c>
      <c r="E321" t="s">
        <v>83</v>
      </c>
      <c r="F321" t="s">
        <v>25</v>
      </c>
      <c r="G321" t="s">
        <v>19</v>
      </c>
      <c r="H321" t="s">
        <v>24</v>
      </c>
      <c r="I321" t="s">
        <v>26</v>
      </c>
      <c r="J321" t="s">
        <v>20</v>
      </c>
    </row>
    <row r="322" spans="1:10">
      <c r="A322" t="s">
        <v>79</v>
      </c>
      <c r="B322">
        <f t="shared" si="22"/>
        <v>6.0168471720818288E-2</v>
      </c>
      <c r="C322">
        <f t="shared" si="23"/>
        <v>3.760529482551143E-3</v>
      </c>
      <c r="D322">
        <v>1.2</v>
      </c>
      <c r="E322" t="s">
        <v>83</v>
      </c>
      <c r="F322" t="s">
        <v>23</v>
      </c>
      <c r="G322" t="s">
        <v>20</v>
      </c>
      <c r="H322" t="s">
        <v>17</v>
      </c>
      <c r="I322" t="s">
        <v>21</v>
      </c>
      <c r="J322" t="s">
        <v>19</v>
      </c>
    </row>
    <row r="323" spans="1:10">
      <c r="A323" t="s">
        <v>79</v>
      </c>
      <c r="B323">
        <f t="shared" si="22"/>
        <v>6.0168471720818288E-2</v>
      </c>
      <c r="C323">
        <f t="shared" si="23"/>
        <v>3.760529482551143E-3</v>
      </c>
      <c r="D323">
        <v>1.1000000000000001</v>
      </c>
      <c r="E323" t="s">
        <v>83</v>
      </c>
      <c r="F323" t="s">
        <v>25</v>
      </c>
      <c r="G323" t="s">
        <v>23</v>
      </c>
      <c r="H323" t="s">
        <v>17</v>
      </c>
      <c r="I323" t="s">
        <v>20</v>
      </c>
      <c r="J323" t="s">
        <v>18</v>
      </c>
    </row>
    <row r="324" spans="1:10">
      <c r="A324" t="s">
        <v>79</v>
      </c>
      <c r="B324">
        <f t="shared" si="22"/>
        <v>6.0168471720818288E-2</v>
      </c>
      <c r="C324">
        <f t="shared" si="23"/>
        <v>3.760529482551143E-3</v>
      </c>
      <c r="D324">
        <v>1</v>
      </c>
      <c r="E324" t="s">
        <v>83</v>
      </c>
      <c r="F324" t="s">
        <v>21</v>
      </c>
      <c r="G324" t="s">
        <v>18</v>
      </c>
      <c r="H324" t="s">
        <v>19</v>
      </c>
      <c r="I324" t="s">
        <v>20</v>
      </c>
      <c r="J324" t="s">
        <v>17</v>
      </c>
    </row>
    <row r="325" spans="1:10">
      <c r="A325" t="s">
        <v>79</v>
      </c>
      <c r="B325">
        <f t="shared" si="22"/>
        <v>6.0168471720818288E-2</v>
      </c>
      <c r="C325">
        <f t="shared" si="23"/>
        <v>3.760529482551143E-3</v>
      </c>
      <c r="D325">
        <v>0.90000000000000102</v>
      </c>
      <c r="E325" t="s">
        <v>83</v>
      </c>
      <c r="F325" t="s">
        <v>22</v>
      </c>
      <c r="G325" t="s">
        <v>23</v>
      </c>
      <c r="H325" t="s">
        <v>24</v>
      </c>
      <c r="I325" t="s">
        <v>25</v>
      </c>
      <c r="J325" t="s">
        <v>17</v>
      </c>
    </row>
    <row r="326" spans="1:10">
      <c r="A326" t="s">
        <v>79</v>
      </c>
      <c r="B326">
        <f t="shared" si="22"/>
        <v>6.0168471720818288E-2</v>
      </c>
      <c r="C326">
        <f t="shared" si="23"/>
        <v>3.760529482551143E-3</v>
      </c>
      <c r="D326">
        <v>0.80000000000000104</v>
      </c>
      <c r="E326" t="s">
        <v>83</v>
      </c>
      <c r="F326" t="s">
        <v>25</v>
      </c>
      <c r="G326" t="s">
        <v>19</v>
      </c>
      <c r="H326" t="s">
        <v>17</v>
      </c>
      <c r="I326" t="s">
        <v>21</v>
      </c>
      <c r="J326" t="s">
        <v>26</v>
      </c>
    </row>
    <row r="327" spans="1:10">
      <c r="A327" t="s">
        <v>79</v>
      </c>
      <c r="B327">
        <f t="shared" si="22"/>
        <v>6.0168471720818288E-2</v>
      </c>
      <c r="C327">
        <f t="shared" si="23"/>
        <v>3.760529482551143E-3</v>
      </c>
      <c r="D327">
        <v>0.70000000000000095</v>
      </c>
      <c r="E327" t="s">
        <v>83</v>
      </c>
      <c r="F327" t="s">
        <v>18</v>
      </c>
      <c r="G327" t="s">
        <v>25</v>
      </c>
      <c r="H327" t="s">
        <v>24</v>
      </c>
      <c r="I327" t="s">
        <v>23</v>
      </c>
      <c r="J327" t="s">
        <v>20</v>
      </c>
    </row>
    <row r="328" spans="1:10">
      <c r="A328" t="s">
        <v>79</v>
      </c>
      <c r="B328">
        <f t="shared" si="22"/>
        <v>6.0168471720818288E-2</v>
      </c>
      <c r="C328">
        <f t="shared" si="23"/>
        <v>3.760529482551143E-3</v>
      </c>
      <c r="D328">
        <v>0.6</v>
      </c>
      <c r="E328" t="s">
        <v>83</v>
      </c>
      <c r="F328" t="s">
        <v>19</v>
      </c>
      <c r="G328" t="s">
        <v>17</v>
      </c>
      <c r="H328" t="s">
        <v>21</v>
      </c>
      <c r="I328" t="s">
        <v>26</v>
      </c>
      <c r="J328" t="s">
        <v>25</v>
      </c>
    </row>
    <row r="329" spans="1:10">
      <c r="A329" t="s">
        <v>79</v>
      </c>
      <c r="B329">
        <f t="shared" si="22"/>
        <v>6.0168471720818288E-2</v>
      </c>
      <c r="C329">
        <f t="shared" si="23"/>
        <v>3.760529482551143E-3</v>
      </c>
      <c r="D329">
        <v>0.5</v>
      </c>
      <c r="E329" t="s">
        <v>83</v>
      </c>
      <c r="F329" t="s">
        <v>24</v>
      </c>
      <c r="G329" t="s">
        <v>19</v>
      </c>
      <c r="H329" t="s">
        <v>25</v>
      </c>
      <c r="I329" t="s">
        <v>23</v>
      </c>
      <c r="J329" t="s">
        <v>17</v>
      </c>
    </row>
    <row r="330" spans="1:10">
      <c r="A330" t="s">
        <v>79</v>
      </c>
      <c r="B330">
        <f t="shared" si="22"/>
        <v>6.0168471720818288E-2</v>
      </c>
      <c r="C330">
        <f t="shared" si="23"/>
        <v>3.760529482551143E-3</v>
      </c>
      <c r="D330">
        <v>0.4</v>
      </c>
      <c r="E330" t="s">
        <v>83</v>
      </c>
      <c r="F330" t="s">
        <v>22</v>
      </c>
      <c r="G330" t="s">
        <v>17</v>
      </c>
      <c r="H330" t="s">
        <v>21</v>
      </c>
      <c r="I330" t="s">
        <v>26</v>
      </c>
      <c r="J330" t="s">
        <v>18</v>
      </c>
    </row>
    <row r="331" spans="1:10">
      <c r="A331" t="s">
        <v>79</v>
      </c>
      <c r="B331">
        <f t="shared" si="22"/>
        <v>6.0168471720818288E-2</v>
      </c>
      <c r="C331">
        <f t="shared" si="23"/>
        <v>3.760529482551143E-3</v>
      </c>
      <c r="D331">
        <v>0.3</v>
      </c>
      <c r="E331" t="s">
        <v>83</v>
      </c>
      <c r="F331" t="s">
        <v>18</v>
      </c>
      <c r="G331" t="s">
        <v>21</v>
      </c>
      <c r="H331" t="s">
        <v>25</v>
      </c>
      <c r="I331" t="s">
        <v>20</v>
      </c>
      <c r="J331" t="s">
        <v>26</v>
      </c>
    </row>
    <row r="332" spans="1:10">
      <c r="A332" t="s">
        <v>79</v>
      </c>
      <c r="B332">
        <f t="shared" si="22"/>
        <v>6.0168471720818288E-2</v>
      </c>
      <c r="C332">
        <f t="shared" si="23"/>
        <v>3.760529482551143E-3</v>
      </c>
      <c r="D332">
        <v>0.2</v>
      </c>
      <c r="E332" t="s">
        <v>83</v>
      </c>
      <c r="F332" t="s">
        <v>25</v>
      </c>
      <c r="G332" t="s">
        <v>18</v>
      </c>
      <c r="H332" t="s">
        <v>20</v>
      </c>
      <c r="I332" t="s">
        <v>26</v>
      </c>
      <c r="J332" t="s">
        <v>17</v>
      </c>
    </row>
    <row r="333" spans="1:10">
      <c r="A333" t="s">
        <v>79</v>
      </c>
      <c r="B333">
        <f t="shared" si="22"/>
        <v>6.0168471720818288E-2</v>
      </c>
      <c r="C333">
        <f t="shared" si="23"/>
        <v>3.760529482551143E-3</v>
      </c>
      <c r="D333">
        <v>9.9999999999999895E-2</v>
      </c>
      <c r="E333" t="s">
        <v>83</v>
      </c>
      <c r="F333" t="s">
        <v>23</v>
      </c>
      <c r="G333" t="s">
        <v>25</v>
      </c>
      <c r="H333" t="s">
        <v>20</v>
      </c>
      <c r="I333" t="s">
        <v>26</v>
      </c>
      <c r="J333" t="s">
        <v>24</v>
      </c>
    </row>
    <row r="334" spans="1:10">
      <c r="A334" t="s">
        <v>79</v>
      </c>
      <c r="B334">
        <f t="shared" si="22"/>
        <v>6.0168471720818288E-2</v>
      </c>
      <c r="C334">
        <f t="shared" si="23"/>
        <v>3.760529482551143E-3</v>
      </c>
      <c r="D334">
        <v>0</v>
      </c>
      <c r="E334" t="s">
        <v>83</v>
      </c>
      <c r="F334" t="s">
        <v>19</v>
      </c>
      <c r="G334" t="s">
        <v>20</v>
      </c>
      <c r="H334" t="s">
        <v>21</v>
      </c>
      <c r="I334" t="s">
        <v>26</v>
      </c>
      <c r="J334" t="s">
        <v>24</v>
      </c>
    </row>
    <row r="335" spans="1:10">
      <c r="A335" t="s">
        <v>79</v>
      </c>
      <c r="B335">
        <f t="shared" si="22"/>
        <v>6.0168471720818288E-2</v>
      </c>
      <c r="C335">
        <f t="shared" si="23"/>
        <v>3.760529482551143E-3</v>
      </c>
      <c r="D335">
        <v>-0.1</v>
      </c>
      <c r="E335" t="s">
        <v>83</v>
      </c>
      <c r="F335" t="s">
        <v>26</v>
      </c>
      <c r="G335" t="s">
        <v>20</v>
      </c>
      <c r="H335" t="s">
        <v>25</v>
      </c>
      <c r="I335" t="s">
        <v>19</v>
      </c>
      <c r="J335" t="s">
        <v>17</v>
      </c>
    </row>
    <row r="336" spans="1:10">
      <c r="A336" t="s">
        <v>79</v>
      </c>
      <c r="B336">
        <f t="shared" si="22"/>
        <v>6.0168471720818288E-2</v>
      </c>
      <c r="C336">
        <f t="shared" si="23"/>
        <v>3.760529482551143E-3</v>
      </c>
      <c r="D336">
        <v>-0.2</v>
      </c>
      <c r="E336" t="s">
        <v>83</v>
      </c>
      <c r="F336" t="s">
        <v>24</v>
      </c>
      <c r="G336" t="s">
        <v>22</v>
      </c>
      <c r="H336" t="s">
        <v>17</v>
      </c>
      <c r="I336" t="s">
        <v>20</v>
      </c>
      <c r="J336" t="s">
        <v>23</v>
      </c>
    </row>
    <row r="337" spans="1:10">
      <c r="A337" t="s">
        <v>79</v>
      </c>
      <c r="B337">
        <f t="shared" si="22"/>
        <v>6.0168471720818288E-2</v>
      </c>
      <c r="C337">
        <f t="shared" si="23"/>
        <v>3.760529482551143E-3</v>
      </c>
      <c r="D337">
        <v>-0.3</v>
      </c>
      <c r="E337" t="s">
        <v>83</v>
      </c>
      <c r="F337" t="s">
        <v>25</v>
      </c>
      <c r="G337" t="s">
        <v>17</v>
      </c>
      <c r="H337" t="s">
        <v>24</v>
      </c>
      <c r="I337" t="s">
        <v>20</v>
      </c>
      <c r="J337" t="s">
        <v>23</v>
      </c>
    </row>
    <row r="1048262" spans="3:3">
      <c r="C1048262" s="1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8AB7-1640-AD40-885B-ABBE32625788}">
  <dimension ref="A1:O1048262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63</v>
      </c>
      <c r="B2">
        <v>1</v>
      </c>
      <c r="C2">
        <v>1</v>
      </c>
      <c r="D2">
        <v>1.7</v>
      </c>
      <c r="E2" t="s">
        <v>84</v>
      </c>
      <c r="F2" s="2" t="s">
        <v>23</v>
      </c>
      <c r="G2" t="s">
        <v>18</v>
      </c>
      <c r="H2" t="s">
        <v>17</v>
      </c>
      <c r="I2" t="s">
        <v>24</v>
      </c>
      <c r="J2" t="s">
        <v>19</v>
      </c>
      <c r="K2" s="2" t="s">
        <v>23</v>
      </c>
      <c r="L2" t="s">
        <v>18</v>
      </c>
      <c r="M2" t="s">
        <v>17</v>
      </c>
      <c r="N2" t="s">
        <v>24</v>
      </c>
      <c r="O2" t="s">
        <v>19</v>
      </c>
    </row>
    <row r="3" spans="1:15">
      <c r="A3" t="s">
        <v>63</v>
      </c>
      <c r="B3">
        <v>1</v>
      </c>
      <c r="C3">
        <v>1</v>
      </c>
      <c r="D3">
        <v>1.6</v>
      </c>
      <c r="E3" t="s">
        <v>84</v>
      </c>
      <c r="F3" s="2" t="s">
        <v>17</v>
      </c>
      <c r="G3" t="s">
        <v>26</v>
      </c>
      <c r="H3" t="s">
        <v>21</v>
      </c>
      <c r="I3" t="s">
        <v>25</v>
      </c>
      <c r="J3" t="s">
        <v>22</v>
      </c>
      <c r="K3" s="2" t="s">
        <v>17</v>
      </c>
      <c r="L3" t="s">
        <v>26</v>
      </c>
      <c r="M3" t="s">
        <v>21</v>
      </c>
      <c r="N3" t="s">
        <v>25</v>
      </c>
      <c r="O3" t="s">
        <v>22</v>
      </c>
    </row>
    <row r="4" spans="1:15">
      <c r="A4" t="s">
        <v>63</v>
      </c>
      <c r="B4">
        <v>1</v>
      </c>
      <c r="C4">
        <v>1</v>
      </c>
      <c r="D4">
        <v>1.5</v>
      </c>
      <c r="E4" t="s">
        <v>84</v>
      </c>
      <c r="F4" s="2" t="s">
        <v>19</v>
      </c>
      <c r="G4" t="s">
        <v>21</v>
      </c>
      <c r="H4" t="s">
        <v>22</v>
      </c>
      <c r="I4" t="s">
        <v>18</v>
      </c>
      <c r="J4" t="s">
        <v>25</v>
      </c>
      <c r="K4" s="2" t="s">
        <v>19</v>
      </c>
      <c r="L4" t="s">
        <v>21</v>
      </c>
      <c r="M4" t="s">
        <v>22</v>
      </c>
      <c r="N4" t="s">
        <v>18</v>
      </c>
      <c r="O4" t="s">
        <v>25</v>
      </c>
    </row>
    <row r="5" spans="1:15">
      <c r="A5" t="s">
        <v>63</v>
      </c>
      <c r="B5">
        <v>1</v>
      </c>
      <c r="C5">
        <v>1</v>
      </c>
      <c r="D5">
        <v>1.4</v>
      </c>
      <c r="E5" t="s">
        <v>84</v>
      </c>
      <c r="F5" s="2" t="s">
        <v>23</v>
      </c>
      <c r="G5" t="s">
        <v>22</v>
      </c>
      <c r="H5" t="s">
        <v>24</v>
      </c>
      <c r="I5" t="s">
        <v>17</v>
      </c>
      <c r="J5" t="s">
        <v>18</v>
      </c>
      <c r="K5" s="2" t="s">
        <v>23</v>
      </c>
      <c r="L5" t="s">
        <v>22</v>
      </c>
      <c r="M5" t="s">
        <v>24</v>
      </c>
      <c r="N5" t="s">
        <v>17</v>
      </c>
      <c r="O5" t="s">
        <v>18</v>
      </c>
    </row>
    <row r="6" spans="1:15">
      <c r="A6" t="s">
        <v>63</v>
      </c>
      <c r="B6">
        <v>1</v>
      </c>
      <c r="C6">
        <v>1</v>
      </c>
      <c r="D6">
        <v>1.3</v>
      </c>
      <c r="E6" t="s">
        <v>84</v>
      </c>
      <c r="F6" s="2" t="s">
        <v>24</v>
      </c>
      <c r="G6" t="s">
        <v>23</v>
      </c>
      <c r="H6" t="s">
        <v>20</v>
      </c>
      <c r="I6" t="s">
        <v>19</v>
      </c>
      <c r="J6" t="s">
        <v>18</v>
      </c>
      <c r="K6" s="2" t="s">
        <v>24</v>
      </c>
      <c r="L6" t="s">
        <v>23</v>
      </c>
      <c r="M6" t="s">
        <v>20</v>
      </c>
      <c r="N6" t="s">
        <v>19</v>
      </c>
      <c r="O6" t="s">
        <v>18</v>
      </c>
    </row>
    <row r="7" spans="1:15">
      <c r="A7" t="s">
        <v>63</v>
      </c>
      <c r="B7">
        <v>1</v>
      </c>
      <c r="C7">
        <v>1</v>
      </c>
      <c r="D7">
        <v>1.2</v>
      </c>
      <c r="E7" t="s">
        <v>84</v>
      </c>
      <c r="F7" s="2" t="s">
        <v>20</v>
      </c>
      <c r="G7" t="s">
        <v>26</v>
      </c>
      <c r="H7" t="s">
        <v>25</v>
      </c>
      <c r="I7" t="s">
        <v>17</v>
      </c>
      <c r="J7" t="s">
        <v>19</v>
      </c>
      <c r="K7" s="2" t="s">
        <v>20</v>
      </c>
      <c r="L7" t="s">
        <v>26</v>
      </c>
      <c r="M7" t="s">
        <v>25</v>
      </c>
      <c r="N7" t="s">
        <v>17</v>
      </c>
      <c r="O7" t="s">
        <v>19</v>
      </c>
    </row>
    <row r="8" spans="1:15">
      <c r="A8" t="s">
        <v>63</v>
      </c>
      <c r="B8">
        <v>1</v>
      </c>
      <c r="C8">
        <v>1</v>
      </c>
      <c r="D8">
        <v>1.1000000000000001</v>
      </c>
      <c r="E8" t="s">
        <v>84</v>
      </c>
      <c r="F8" s="2" t="s">
        <v>23</v>
      </c>
      <c r="G8" t="s">
        <v>22</v>
      </c>
      <c r="H8" t="s">
        <v>17</v>
      </c>
      <c r="I8" t="s">
        <v>19</v>
      </c>
      <c r="J8" t="s">
        <v>26</v>
      </c>
      <c r="K8" s="2" t="s">
        <v>23</v>
      </c>
      <c r="L8" t="s">
        <v>22</v>
      </c>
      <c r="M8" t="s">
        <v>17</v>
      </c>
      <c r="N8" t="s">
        <v>19</v>
      </c>
      <c r="O8" t="s">
        <v>26</v>
      </c>
    </row>
    <row r="9" spans="1:15">
      <c r="A9" t="s">
        <v>63</v>
      </c>
      <c r="B9">
        <v>1</v>
      </c>
      <c r="C9">
        <v>1</v>
      </c>
      <c r="D9">
        <v>1</v>
      </c>
      <c r="E9" t="s">
        <v>84</v>
      </c>
      <c r="F9" s="2" t="s">
        <v>18</v>
      </c>
      <c r="G9" t="s">
        <v>24</v>
      </c>
      <c r="H9" t="s">
        <v>25</v>
      </c>
      <c r="I9" t="s">
        <v>21</v>
      </c>
      <c r="J9" t="s">
        <v>23</v>
      </c>
      <c r="K9" s="2" t="s">
        <v>18</v>
      </c>
      <c r="L9" t="s">
        <v>24</v>
      </c>
      <c r="M9" t="s">
        <v>25</v>
      </c>
      <c r="N9" t="s">
        <v>21</v>
      </c>
      <c r="O9" t="s">
        <v>23</v>
      </c>
    </row>
    <row r="10" spans="1:15">
      <c r="A10" t="s">
        <v>63</v>
      </c>
      <c r="B10">
        <v>1</v>
      </c>
      <c r="C10">
        <v>1</v>
      </c>
      <c r="D10">
        <v>0.90000000000000102</v>
      </c>
      <c r="E10" t="s">
        <v>84</v>
      </c>
      <c r="F10" s="2" t="s">
        <v>17</v>
      </c>
      <c r="G10" t="s">
        <v>19</v>
      </c>
      <c r="H10" t="s">
        <v>26</v>
      </c>
      <c r="I10" t="s">
        <v>24</v>
      </c>
      <c r="J10" t="s">
        <v>25</v>
      </c>
      <c r="K10" s="2" t="s">
        <v>17</v>
      </c>
      <c r="L10" t="s">
        <v>19</v>
      </c>
      <c r="M10" t="s">
        <v>26</v>
      </c>
      <c r="N10" t="s">
        <v>24</v>
      </c>
      <c r="O10" t="s">
        <v>25</v>
      </c>
    </row>
    <row r="11" spans="1:15">
      <c r="A11" t="s">
        <v>63</v>
      </c>
      <c r="B11">
        <v>1</v>
      </c>
      <c r="C11">
        <v>1</v>
      </c>
      <c r="D11">
        <v>0.80000000000000104</v>
      </c>
      <c r="E11" t="s">
        <v>84</v>
      </c>
      <c r="F11" s="2" t="s">
        <v>18</v>
      </c>
      <c r="G11" t="s">
        <v>17</v>
      </c>
      <c r="H11" t="s">
        <v>26</v>
      </c>
      <c r="I11" t="s">
        <v>22</v>
      </c>
      <c r="J11" t="s">
        <v>19</v>
      </c>
      <c r="K11" s="2" t="s">
        <v>18</v>
      </c>
      <c r="L11" t="s">
        <v>17</v>
      </c>
      <c r="M11" t="s">
        <v>26</v>
      </c>
      <c r="N11" t="s">
        <v>22</v>
      </c>
      <c r="O11" t="s">
        <v>19</v>
      </c>
    </row>
    <row r="12" spans="1:15">
      <c r="A12" t="s">
        <v>63</v>
      </c>
      <c r="B12">
        <v>1</v>
      </c>
      <c r="C12">
        <v>1</v>
      </c>
      <c r="D12">
        <v>0.70000000000000095</v>
      </c>
      <c r="E12" t="s">
        <v>84</v>
      </c>
      <c r="F12" s="2" t="s">
        <v>17</v>
      </c>
      <c r="G12" t="s">
        <v>26</v>
      </c>
      <c r="H12" t="s">
        <v>24</v>
      </c>
      <c r="I12" t="s">
        <v>18</v>
      </c>
      <c r="J12" t="s">
        <v>23</v>
      </c>
      <c r="K12" s="2" t="s">
        <v>17</v>
      </c>
      <c r="L12" t="s">
        <v>26</v>
      </c>
      <c r="M12" t="s">
        <v>24</v>
      </c>
      <c r="N12" t="s">
        <v>18</v>
      </c>
      <c r="O12" t="s">
        <v>23</v>
      </c>
    </row>
    <row r="13" spans="1:15">
      <c r="A13" t="s">
        <v>63</v>
      </c>
      <c r="B13">
        <v>1</v>
      </c>
      <c r="C13">
        <v>1</v>
      </c>
      <c r="D13">
        <v>0.6</v>
      </c>
      <c r="E13" t="s">
        <v>84</v>
      </c>
      <c r="F13" s="2" t="s">
        <v>21</v>
      </c>
      <c r="G13" t="s">
        <v>26</v>
      </c>
      <c r="H13" t="s">
        <v>18</v>
      </c>
      <c r="I13" t="s">
        <v>19</v>
      </c>
      <c r="J13" t="s">
        <v>24</v>
      </c>
      <c r="K13" s="2" t="s">
        <v>21</v>
      </c>
      <c r="L13" t="s">
        <v>26</v>
      </c>
      <c r="M13" t="s">
        <v>18</v>
      </c>
      <c r="N13" t="s">
        <v>19</v>
      </c>
      <c r="O13" t="s">
        <v>24</v>
      </c>
    </row>
    <row r="14" spans="1:15">
      <c r="A14" t="s">
        <v>63</v>
      </c>
      <c r="B14">
        <v>1</v>
      </c>
      <c r="C14">
        <v>1</v>
      </c>
      <c r="D14">
        <v>0.5</v>
      </c>
      <c r="E14" t="s">
        <v>84</v>
      </c>
      <c r="F14" s="2" t="s">
        <v>17</v>
      </c>
      <c r="G14" t="s">
        <v>18</v>
      </c>
      <c r="H14" t="s">
        <v>25</v>
      </c>
      <c r="I14" t="s">
        <v>22</v>
      </c>
      <c r="J14" t="s">
        <v>19</v>
      </c>
      <c r="K14" s="2" t="s">
        <v>17</v>
      </c>
      <c r="L14" t="s">
        <v>18</v>
      </c>
      <c r="M14" t="s">
        <v>25</v>
      </c>
      <c r="N14" t="s">
        <v>22</v>
      </c>
      <c r="O14" t="s">
        <v>19</v>
      </c>
    </row>
    <row r="15" spans="1:15">
      <c r="A15" t="s">
        <v>63</v>
      </c>
      <c r="B15">
        <v>1</v>
      </c>
      <c r="C15">
        <v>1</v>
      </c>
      <c r="D15">
        <v>0.4</v>
      </c>
      <c r="E15" t="s">
        <v>84</v>
      </c>
      <c r="F15" s="2" t="s">
        <v>20</v>
      </c>
      <c r="G15" t="s">
        <v>18</v>
      </c>
      <c r="H15" t="s">
        <v>26</v>
      </c>
      <c r="I15" t="s">
        <v>22</v>
      </c>
      <c r="J15" t="s">
        <v>21</v>
      </c>
      <c r="K15" s="2" t="s">
        <v>20</v>
      </c>
      <c r="L15" t="s">
        <v>18</v>
      </c>
      <c r="M15" t="s">
        <v>26</v>
      </c>
      <c r="N15" t="s">
        <v>22</v>
      </c>
      <c r="O15" t="s">
        <v>21</v>
      </c>
    </row>
    <row r="16" spans="1:15">
      <c r="A16" t="s">
        <v>63</v>
      </c>
      <c r="B16">
        <v>1</v>
      </c>
      <c r="C16">
        <v>1</v>
      </c>
      <c r="D16">
        <v>0.3</v>
      </c>
      <c r="E16" t="s">
        <v>84</v>
      </c>
      <c r="F16" s="2" t="s">
        <v>21</v>
      </c>
      <c r="G16" t="s">
        <v>23</v>
      </c>
      <c r="H16" t="s">
        <v>25</v>
      </c>
      <c r="I16" t="s">
        <v>20</v>
      </c>
      <c r="J16" t="s">
        <v>19</v>
      </c>
      <c r="K16" s="2" t="s">
        <v>21</v>
      </c>
      <c r="L16" t="s">
        <v>23</v>
      </c>
      <c r="M16" t="s">
        <v>25</v>
      </c>
      <c r="N16" t="s">
        <v>20</v>
      </c>
      <c r="O16" t="s">
        <v>19</v>
      </c>
    </row>
    <row r="17" spans="1:15">
      <c r="A17" t="s">
        <v>63</v>
      </c>
      <c r="B17">
        <v>1</v>
      </c>
      <c r="C17">
        <v>1</v>
      </c>
      <c r="D17">
        <v>0.2</v>
      </c>
      <c r="E17" t="s">
        <v>84</v>
      </c>
      <c r="F17" s="2" t="s">
        <v>25</v>
      </c>
      <c r="G17" t="s">
        <v>19</v>
      </c>
      <c r="H17" t="s">
        <v>23</v>
      </c>
      <c r="I17" t="s">
        <v>21</v>
      </c>
      <c r="J17" t="s">
        <v>20</v>
      </c>
      <c r="K17" s="2" t="s">
        <v>25</v>
      </c>
      <c r="L17" t="s">
        <v>19</v>
      </c>
      <c r="M17" t="s">
        <v>23</v>
      </c>
      <c r="N17" t="s">
        <v>21</v>
      </c>
      <c r="O17" t="s">
        <v>20</v>
      </c>
    </row>
    <row r="18" spans="1:15">
      <c r="A18" t="s">
        <v>63</v>
      </c>
      <c r="B18">
        <v>1</v>
      </c>
      <c r="C18">
        <v>1</v>
      </c>
      <c r="D18">
        <v>9.9999999999999895E-2</v>
      </c>
      <c r="E18" t="s">
        <v>84</v>
      </c>
      <c r="F18" s="2" t="s">
        <v>18</v>
      </c>
      <c r="G18" t="s">
        <v>23</v>
      </c>
      <c r="H18" t="s">
        <v>19</v>
      </c>
      <c r="I18" t="s">
        <v>22</v>
      </c>
      <c r="J18" t="s">
        <v>17</v>
      </c>
      <c r="K18" s="2" t="s">
        <v>18</v>
      </c>
      <c r="L18" t="s">
        <v>23</v>
      </c>
      <c r="M18" t="s">
        <v>19</v>
      </c>
      <c r="N18" t="s">
        <v>22</v>
      </c>
      <c r="O18" t="s">
        <v>17</v>
      </c>
    </row>
    <row r="19" spans="1:15">
      <c r="A19" t="s">
        <v>63</v>
      </c>
      <c r="B19">
        <v>1</v>
      </c>
      <c r="C19">
        <v>1</v>
      </c>
      <c r="D19">
        <v>0</v>
      </c>
      <c r="E19" t="s">
        <v>84</v>
      </c>
      <c r="F19" s="2" t="s">
        <v>22</v>
      </c>
      <c r="G19" t="s">
        <v>26</v>
      </c>
      <c r="H19" t="s">
        <v>24</v>
      </c>
      <c r="I19" t="s">
        <v>25</v>
      </c>
      <c r="J19" t="s">
        <v>23</v>
      </c>
      <c r="K19" s="2" t="s">
        <v>22</v>
      </c>
      <c r="L19" t="s">
        <v>26</v>
      </c>
      <c r="M19" t="s">
        <v>24</v>
      </c>
    </row>
    <row r="20" spans="1:15">
      <c r="A20" t="s">
        <v>63</v>
      </c>
      <c r="B20">
        <v>1</v>
      </c>
      <c r="C20">
        <v>1</v>
      </c>
      <c r="D20">
        <v>-0.1</v>
      </c>
      <c r="E20" t="s">
        <v>84</v>
      </c>
      <c r="F20" s="2" t="s">
        <v>17</v>
      </c>
      <c r="G20" t="s">
        <v>26</v>
      </c>
      <c r="H20" t="s">
        <v>22</v>
      </c>
      <c r="I20" t="s">
        <v>20</v>
      </c>
      <c r="J20" t="s">
        <v>23</v>
      </c>
      <c r="K20" s="2" t="s">
        <v>17</v>
      </c>
      <c r="L20" t="s">
        <v>26</v>
      </c>
      <c r="M20" t="s">
        <v>22</v>
      </c>
      <c r="N20" t="s">
        <v>20</v>
      </c>
      <c r="O20" t="s">
        <v>23</v>
      </c>
    </row>
    <row r="21" spans="1:15">
      <c r="A21" t="s">
        <v>63</v>
      </c>
      <c r="B21">
        <v>1</v>
      </c>
      <c r="C21">
        <v>1</v>
      </c>
      <c r="D21">
        <v>-0.2</v>
      </c>
      <c r="E21" t="s">
        <v>84</v>
      </c>
      <c r="F21" s="2" t="s">
        <v>18</v>
      </c>
      <c r="G21" t="s">
        <v>22</v>
      </c>
      <c r="H21" t="s">
        <v>19</v>
      </c>
      <c r="I21" t="s">
        <v>26</v>
      </c>
      <c r="J21" t="s">
        <v>17</v>
      </c>
      <c r="K21" s="2" t="s">
        <v>18</v>
      </c>
    </row>
    <row r="22" spans="1:15">
      <c r="A22" t="s">
        <v>63</v>
      </c>
      <c r="B22">
        <v>1</v>
      </c>
      <c r="C22">
        <v>1</v>
      </c>
      <c r="D22">
        <v>-0.3</v>
      </c>
      <c r="E22" t="s">
        <v>84</v>
      </c>
      <c r="F22" s="2" t="s">
        <v>26</v>
      </c>
      <c r="G22" t="s">
        <v>19</v>
      </c>
      <c r="H22" t="s">
        <v>21</v>
      </c>
      <c r="I22" t="s">
        <v>25</v>
      </c>
      <c r="J22" t="s">
        <v>22</v>
      </c>
    </row>
    <row r="23" spans="1:15">
      <c r="A23" t="s">
        <v>65</v>
      </c>
      <c r="B23">
        <f>1/3.48</f>
        <v>0.28735632183908044</v>
      </c>
      <c r="C23">
        <f>1/3.48</f>
        <v>0.28735632183908044</v>
      </c>
      <c r="D23">
        <v>1.7</v>
      </c>
      <c r="E23" t="s">
        <v>84</v>
      </c>
      <c r="F23" s="2" t="s">
        <v>26</v>
      </c>
      <c r="G23" t="s">
        <v>18</v>
      </c>
      <c r="H23" t="s">
        <v>20</v>
      </c>
      <c r="I23" t="s">
        <v>22</v>
      </c>
      <c r="J23" t="s">
        <v>19</v>
      </c>
      <c r="K23" s="2" t="s">
        <v>26</v>
      </c>
      <c r="L23" t="s">
        <v>18</v>
      </c>
      <c r="M23" t="s">
        <v>20</v>
      </c>
      <c r="N23" t="s">
        <v>22</v>
      </c>
      <c r="O23" t="s">
        <v>19</v>
      </c>
    </row>
    <row r="24" spans="1:15">
      <c r="A24" t="s">
        <v>65</v>
      </c>
      <c r="B24">
        <f t="shared" ref="B24:C43" si="0">1/3.48</f>
        <v>0.28735632183908044</v>
      </c>
      <c r="C24">
        <f t="shared" si="0"/>
        <v>0.28735632183908044</v>
      </c>
      <c r="D24">
        <v>1.6</v>
      </c>
      <c r="E24" t="s">
        <v>84</v>
      </c>
      <c r="F24" s="2" t="s">
        <v>19</v>
      </c>
      <c r="G24" t="s">
        <v>24</v>
      </c>
      <c r="H24" t="s">
        <v>26</v>
      </c>
      <c r="I24" t="s">
        <v>23</v>
      </c>
      <c r="J24" t="s">
        <v>17</v>
      </c>
      <c r="K24" s="2" t="s">
        <v>19</v>
      </c>
      <c r="L24" t="s">
        <v>24</v>
      </c>
      <c r="M24" t="s">
        <v>26</v>
      </c>
      <c r="N24" t="s">
        <v>23</v>
      </c>
      <c r="O24" t="s">
        <v>17</v>
      </c>
    </row>
    <row r="25" spans="1:15">
      <c r="A25" t="s">
        <v>65</v>
      </c>
      <c r="B25">
        <f t="shared" si="0"/>
        <v>0.28735632183908044</v>
      </c>
      <c r="C25">
        <f t="shared" si="0"/>
        <v>0.28735632183908044</v>
      </c>
      <c r="D25">
        <v>1.5</v>
      </c>
      <c r="E25" t="s">
        <v>84</v>
      </c>
      <c r="F25" s="2" t="s">
        <v>17</v>
      </c>
      <c r="G25" t="s">
        <v>19</v>
      </c>
      <c r="H25" t="s">
        <v>23</v>
      </c>
      <c r="I25" t="s">
        <v>24</v>
      </c>
      <c r="J25" t="s">
        <v>21</v>
      </c>
      <c r="K25" s="2" t="s">
        <v>17</v>
      </c>
      <c r="L25" t="s">
        <v>19</v>
      </c>
      <c r="M25" t="s">
        <v>23</v>
      </c>
      <c r="N25" t="s">
        <v>24</v>
      </c>
      <c r="O25" t="s">
        <v>21</v>
      </c>
    </row>
    <row r="26" spans="1:15">
      <c r="A26" t="s">
        <v>65</v>
      </c>
      <c r="B26">
        <f t="shared" si="0"/>
        <v>0.28735632183908044</v>
      </c>
      <c r="C26">
        <f t="shared" si="0"/>
        <v>0.28735632183908044</v>
      </c>
      <c r="D26">
        <v>1.4</v>
      </c>
      <c r="E26" t="s">
        <v>84</v>
      </c>
      <c r="F26" s="2" t="s">
        <v>20</v>
      </c>
      <c r="G26" t="s">
        <v>17</v>
      </c>
      <c r="H26" t="s">
        <v>19</v>
      </c>
      <c r="I26" t="s">
        <v>26</v>
      </c>
      <c r="J26" t="s">
        <v>21</v>
      </c>
      <c r="K26" s="2" t="s">
        <v>20</v>
      </c>
      <c r="L26" t="s">
        <v>17</v>
      </c>
      <c r="M26" t="s">
        <v>19</v>
      </c>
      <c r="N26" t="s">
        <v>26</v>
      </c>
      <c r="O26" t="s">
        <v>21</v>
      </c>
    </row>
    <row r="27" spans="1:15">
      <c r="A27" t="s">
        <v>65</v>
      </c>
      <c r="B27">
        <f t="shared" si="0"/>
        <v>0.28735632183908044</v>
      </c>
      <c r="C27">
        <f t="shared" si="0"/>
        <v>0.28735632183908044</v>
      </c>
      <c r="D27">
        <v>1.3</v>
      </c>
      <c r="E27" t="s">
        <v>84</v>
      </c>
      <c r="F27" s="2" t="s">
        <v>18</v>
      </c>
      <c r="G27" t="s">
        <v>23</v>
      </c>
      <c r="H27" t="s">
        <v>20</v>
      </c>
      <c r="I27" t="s">
        <v>26</v>
      </c>
      <c r="J27" t="s">
        <v>22</v>
      </c>
      <c r="K27" s="2" t="s">
        <v>18</v>
      </c>
      <c r="L27" t="s">
        <v>23</v>
      </c>
      <c r="M27" t="s">
        <v>20</v>
      </c>
      <c r="N27" t="s">
        <v>26</v>
      </c>
      <c r="O27" t="s">
        <v>22</v>
      </c>
    </row>
    <row r="28" spans="1:15">
      <c r="A28" t="s">
        <v>65</v>
      </c>
      <c r="B28">
        <f t="shared" si="0"/>
        <v>0.28735632183908044</v>
      </c>
      <c r="C28">
        <f t="shared" si="0"/>
        <v>0.28735632183908044</v>
      </c>
      <c r="D28">
        <v>1.2</v>
      </c>
      <c r="E28" t="s">
        <v>84</v>
      </c>
      <c r="F28" s="2" t="s">
        <v>26</v>
      </c>
      <c r="G28" t="s">
        <v>19</v>
      </c>
      <c r="H28" t="s">
        <v>24</v>
      </c>
      <c r="I28" t="s">
        <v>23</v>
      </c>
      <c r="J28" t="s">
        <v>17</v>
      </c>
      <c r="K28" s="2" t="s">
        <v>26</v>
      </c>
      <c r="L28" t="s">
        <v>19</v>
      </c>
      <c r="M28" t="s">
        <v>24</v>
      </c>
      <c r="N28" t="s">
        <v>23</v>
      </c>
      <c r="O28" t="s">
        <v>17</v>
      </c>
    </row>
    <row r="29" spans="1:15">
      <c r="A29" t="s">
        <v>65</v>
      </c>
      <c r="B29">
        <f t="shared" si="0"/>
        <v>0.28735632183908044</v>
      </c>
      <c r="C29">
        <f t="shared" si="0"/>
        <v>0.28735632183908044</v>
      </c>
      <c r="D29">
        <v>1.1000000000000001</v>
      </c>
      <c r="E29" t="s">
        <v>84</v>
      </c>
      <c r="F29" s="2" t="s">
        <v>18</v>
      </c>
      <c r="G29" t="s">
        <v>26</v>
      </c>
      <c r="H29" t="s">
        <v>19</v>
      </c>
      <c r="I29" t="s">
        <v>25</v>
      </c>
      <c r="J29" t="s">
        <v>20</v>
      </c>
      <c r="K29" s="2" t="s">
        <v>18</v>
      </c>
      <c r="L29" t="s">
        <v>26</v>
      </c>
      <c r="M29" t="s">
        <v>19</v>
      </c>
      <c r="N29" t="s">
        <v>25</v>
      </c>
      <c r="O29" t="s">
        <v>20</v>
      </c>
    </row>
    <row r="30" spans="1:15">
      <c r="A30" t="s">
        <v>65</v>
      </c>
      <c r="B30">
        <f t="shared" si="0"/>
        <v>0.28735632183908044</v>
      </c>
      <c r="C30">
        <f t="shared" si="0"/>
        <v>0.28735632183908044</v>
      </c>
      <c r="D30">
        <v>1</v>
      </c>
      <c r="E30" t="s">
        <v>84</v>
      </c>
      <c r="F30" s="2" t="s">
        <v>24</v>
      </c>
      <c r="G30" t="s">
        <v>18</v>
      </c>
      <c r="H30" t="s">
        <v>25</v>
      </c>
      <c r="I30" t="s">
        <v>23</v>
      </c>
      <c r="J30" t="s">
        <v>17</v>
      </c>
      <c r="K30" s="2" t="s">
        <v>24</v>
      </c>
      <c r="L30" t="s">
        <v>18</v>
      </c>
      <c r="M30" t="s">
        <v>25</v>
      </c>
      <c r="N30" t="s">
        <v>23</v>
      </c>
      <c r="O30" t="s">
        <v>17</v>
      </c>
    </row>
    <row r="31" spans="1:15">
      <c r="A31" t="s">
        <v>65</v>
      </c>
      <c r="B31">
        <f t="shared" si="0"/>
        <v>0.28735632183908044</v>
      </c>
      <c r="C31">
        <f t="shared" si="0"/>
        <v>0.28735632183908044</v>
      </c>
      <c r="D31">
        <v>0.90000000000000102</v>
      </c>
      <c r="E31" t="s">
        <v>84</v>
      </c>
      <c r="F31" s="2" t="s">
        <v>20</v>
      </c>
      <c r="G31" t="s">
        <v>19</v>
      </c>
      <c r="H31" t="s">
        <v>24</v>
      </c>
      <c r="I31" t="s">
        <v>23</v>
      </c>
      <c r="J31" t="s">
        <v>22</v>
      </c>
      <c r="K31" s="2" t="s">
        <v>20</v>
      </c>
      <c r="L31" t="s">
        <v>19</v>
      </c>
      <c r="M31" t="s">
        <v>24</v>
      </c>
      <c r="N31" t="s">
        <v>23</v>
      </c>
      <c r="O31" t="s">
        <v>22</v>
      </c>
    </row>
    <row r="32" spans="1:15">
      <c r="A32" t="s">
        <v>65</v>
      </c>
      <c r="B32">
        <f t="shared" si="0"/>
        <v>0.28735632183908044</v>
      </c>
      <c r="C32">
        <f t="shared" si="0"/>
        <v>0.28735632183908044</v>
      </c>
      <c r="D32">
        <v>0.80000000000000104</v>
      </c>
      <c r="E32" t="s">
        <v>84</v>
      </c>
      <c r="F32" s="2" t="s">
        <v>26</v>
      </c>
      <c r="G32" t="s">
        <v>23</v>
      </c>
      <c r="H32" t="s">
        <v>17</v>
      </c>
      <c r="I32" t="s">
        <v>20</v>
      </c>
      <c r="J32" t="s">
        <v>24</v>
      </c>
      <c r="K32" s="2" t="s">
        <v>26</v>
      </c>
      <c r="L32" t="s">
        <v>23</v>
      </c>
      <c r="M32" t="s">
        <v>17</v>
      </c>
      <c r="N32" t="s">
        <v>20</v>
      </c>
      <c r="O32" t="s">
        <v>24</v>
      </c>
    </row>
    <row r="33" spans="1:15">
      <c r="A33" t="s">
        <v>65</v>
      </c>
      <c r="B33">
        <f t="shared" si="0"/>
        <v>0.28735632183908044</v>
      </c>
      <c r="C33">
        <f t="shared" si="0"/>
        <v>0.28735632183908044</v>
      </c>
      <c r="D33">
        <v>0.70000000000000095</v>
      </c>
      <c r="E33" t="s">
        <v>84</v>
      </c>
      <c r="F33" s="2" t="s">
        <v>26</v>
      </c>
      <c r="G33" t="s">
        <v>18</v>
      </c>
      <c r="H33" t="s">
        <v>23</v>
      </c>
      <c r="I33" t="s">
        <v>17</v>
      </c>
      <c r="J33" t="s">
        <v>24</v>
      </c>
      <c r="K33" s="2" t="s">
        <v>26</v>
      </c>
      <c r="L33" t="s">
        <v>18</v>
      </c>
      <c r="M33" t="s">
        <v>23</v>
      </c>
      <c r="N33" t="s">
        <v>17</v>
      </c>
      <c r="O33" t="s">
        <v>24</v>
      </c>
    </row>
    <row r="34" spans="1:15">
      <c r="A34" t="s">
        <v>65</v>
      </c>
      <c r="B34">
        <f t="shared" si="0"/>
        <v>0.28735632183908044</v>
      </c>
      <c r="C34">
        <f t="shared" si="0"/>
        <v>0.28735632183908044</v>
      </c>
      <c r="D34">
        <v>0.6</v>
      </c>
      <c r="E34" t="s">
        <v>84</v>
      </c>
      <c r="F34" s="2" t="s">
        <v>19</v>
      </c>
      <c r="G34" t="s">
        <v>17</v>
      </c>
      <c r="H34" t="s">
        <v>22</v>
      </c>
      <c r="I34" t="s">
        <v>21</v>
      </c>
      <c r="J34" t="s">
        <v>23</v>
      </c>
      <c r="K34" s="2" t="s">
        <v>19</v>
      </c>
      <c r="L34" t="s">
        <v>17</v>
      </c>
      <c r="M34" t="s">
        <v>22</v>
      </c>
      <c r="N34" t="s">
        <v>21</v>
      </c>
      <c r="O34" t="s">
        <v>23</v>
      </c>
    </row>
    <row r="35" spans="1:15">
      <c r="A35" t="s">
        <v>65</v>
      </c>
      <c r="B35">
        <f t="shared" si="0"/>
        <v>0.28735632183908044</v>
      </c>
      <c r="C35">
        <f t="shared" si="0"/>
        <v>0.28735632183908044</v>
      </c>
      <c r="D35">
        <v>0.5</v>
      </c>
      <c r="E35" t="s">
        <v>84</v>
      </c>
      <c r="F35" s="2" t="s">
        <v>21</v>
      </c>
      <c r="G35" t="s">
        <v>24</v>
      </c>
      <c r="H35" t="s">
        <v>19</v>
      </c>
      <c r="I35" t="s">
        <v>23</v>
      </c>
      <c r="J35" t="s">
        <v>20</v>
      </c>
      <c r="K35" s="2" t="s">
        <v>21</v>
      </c>
      <c r="L35" t="s">
        <v>24</v>
      </c>
      <c r="M35" t="s">
        <v>19</v>
      </c>
      <c r="N35" t="s">
        <v>23</v>
      </c>
      <c r="O35" t="s">
        <v>20</v>
      </c>
    </row>
    <row r="36" spans="1:15">
      <c r="A36" t="s">
        <v>65</v>
      </c>
      <c r="B36">
        <f t="shared" si="0"/>
        <v>0.28735632183908044</v>
      </c>
      <c r="C36">
        <f t="shared" si="0"/>
        <v>0.28735632183908044</v>
      </c>
      <c r="D36">
        <v>0.4</v>
      </c>
      <c r="E36" t="s">
        <v>84</v>
      </c>
      <c r="F36" s="2" t="s">
        <v>23</v>
      </c>
      <c r="G36" t="s">
        <v>24</v>
      </c>
      <c r="H36" t="s">
        <v>21</v>
      </c>
      <c r="I36" t="s">
        <v>17</v>
      </c>
      <c r="J36" t="s">
        <v>25</v>
      </c>
      <c r="K36" s="2" t="s">
        <v>23</v>
      </c>
      <c r="L36" t="s">
        <v>24</v>
      </c>
      <c r="M36" t="s">
        <v>21</v>
      </c>
      <c r="N36" t="s">
        <v>17</v>
      </c>
      <c r="O36" t="s">
        <v>25</v>
      </c>
    </row>
    <row r="37" spans="1:15">
      <c r="A37" t="s">
        <v>65</v>
      </c>
      <c r="B37">
        <f t="shared" si="0"/>
        <v>0.28735632183908044</v>
      </c>
      <c r="C37">
        <f t="shared" si="0"/>
        <v>0.28735632183908044</v>
      </c>
      <c r="D37">
        <v>0.3</v>
      </c>
      <c r="E37" t="s">
        <v>84</v>
      </c>
      <c r="F37" s="2" t="s">
        <v>25</v>
      </c>
      <c r="G37" t="s">
        <v>17</v>
      </c>
      <c r="H37" t="s">
        <v>18</v>
      </c>
      <c r="I37" t="s">
        <v>22</v>
      </c>
      <c r="J37" t="s">
        <v>23</v>
      </c>
      <c r="K37" s="2"/>
      <c r="L37" t="s">
        <v>17</v>
      </c>
      <c r="O37" t="s">
        <v>23</v>
      </c>
    </row>
    <row r="38" spans="1:15">
      <c r="A38" t="s">
        <v>65</v>
      </c>
      <c r="B38">
        <f t="shared" si="0"/>
        <v>0.28735632183908044</v>
      </c>
      <c r="C38">
        <f t="shared" si="0"/>
        <v>0.28735632183908044</v>
      </c>
      <c r="D38">
        <v>0.2</v>
      </c>
      <c r="E38" t="s">
        <v>84</v>
      </c>
      <c r="F38" s="2" t="s">
        <v>26</v>
      </c>
      <c r="G38" t="s">
        <v>18</v>
      </c>
      <c r="H38" t="s">
        <v>25</v>
      </c>
      <c r="I38" t="s">
        <v>23</v>
      </c>
      <c r="J38" t="s">
        <v>17</v>
      </c>
      <c r="K38" s="2"/>
    </row>
    <row r="39" spans="1:15">
      <c r="A39" t="s">
        <v>65</v>
      </c>
      <c r="B39">
        <f t="shared" si="0"/>
        <v>0.28735632183908044</v>
      </c>
      <c r="C39">
        <f t="shared" si="0"/>
        <v>0.28735632183908044</v>
      </c>
      <c r="D39">
        <v>9.9999999999999895E-2</v>
      </c>
      <c r="E39" t="s">
        <v>84</v>
      </c>
      <c r="F39" s="2" t="s">
        <v>18</v>
      </c>
      <c r="G39" t="s">
        <v>22</v>
      </c>
      <c r="H39" t="s">
        <v>21</v>
      </c>
      <c r="I39" t="s">
        <v>19</v>
      </c>
      <c r="J39" t="s">
        <v>25</v>
      </c>
      <c r="K39" s="2"/>
    </row>
    <row r="40" spans="1:15">
      <c r="A40" t="s">
        <v>65</v>
      </c>
      <c r="B40">
        <f t="shared" si="0"/>
        <v>0.28735632183908044</v>
      </c>
      <c r="C40">
        <f t="shared" si="0"/>
        <v>0.28735632183908044</v>
      </c>
      <c r="D40">
        <v>0</v>
      </c>
      <c r="E40" t="s">
        <v>84</v>
      </c>
      <c r="F40" s="2" t="s">
        <v>23</v>
      </c>
      <c r="G40" t="s">
        <v>20</v>
      </c>
      <c r="H40" t="s">
        <v>25</v>
      </c>
      <c r="I40" t="s">
        <v>22</v>
      </c>
      <c r="J40" t="s">
        <v>21</v>
      </c>
    </row>
    <row r="41" spans="1:15">
      <c r="A41" t="s">
        <v>65</v>
      </c>
      <c r="B41">
        <f t="shared" si="0"/>
        <v>0.28735632183908044</v>
      </c>
      <c r="C41">
        <f t="shared" si="0"/>
        <v>0.28735632183908044</v>
      </c>
      <c r="D41">
        <v>-0.1</v>
      </c>
      <c r="E41" t="s">
        <v>84</v>
      </c>
      <c r="F41" s="2" t="s">
        <v>17</v>
      </c>
      <c r="G41" t="s">
        <v>20</v>
      </c>
      <c r="H41" t="s">
        <v>19</v>
      </c>
      <c r="I41" t="s">
        <v>22</v>
      </c>
      <c r="J41" t="s">
        <v>23</v>
      </c>
    </row>
    <row r="42" spans="1:15">
      <c r="A42" t="s">
        <v>65</v>
      </c>
      <c r="B42">
        <f t="shared" si="0"/>
        <v>0.28735632183908044</v>
      </c>
      <c r="C42">
        <f t="shared" si="0"/>
        <v>0.28735632183908044</v>
      </c>
      <c r="D42">
        <v>-0.2</v>
      </c>
      <c r="E42" t="s">
        <v>84</v>
      </c>
      <c r="F42" s="2" t="s">
        <v>26</v>
      </c>
      <c r="G42" t="s">
        <v>18</v>
      </c>
      <c r="H42" t="s">
        <v>25</v>
      </c>
      <c r="I42" t="s">
        <v>24</v>
      </c>
      <c r="J42" t="s">
        <v>23</v>
      </c>
    </row>
    <row r="43" spans="1:15">
      <c r="A43" t="s">
        <v>65</v>
      </c>
      <c r="B43">
        <f t="shared" si="0"/>
        <v>0.28735632183908044</v>
      </c>
      <c r="C43">
        <f t="shared" si="0"/>
        <v>0.28735632183908044</v>
      </c>
      <c r="D43">
        <v>-0.3</v>
      </c>
      <c r="E43" t="s">
        <v>84</v>
      </c>
      <c r="F43" s="2" t="s">
        <v>19</v>
      </c>
      <c r="G43" t="s">
        <v>23</v>
      </c>
      <c r="H43" t="s">
        <v>21</v>
      </c>
      <c r="I43" t="s">
        <v>18</v>
      </c>
      <c r="J43" t="s">
        <v>20</v>
      </c>
    </row>
    <row r="44" spans="1:15">
      <c r="A44" t="s">
        <v>66</v>
      </c>
      <c r="B44">
        <f>1/6.4</f>
        <v>0.15625</v>
      </c>
      <c r="C44">
        <f>1/6.4</f>
        <v>0.15625</v>
      </c>
      <c r="D44">
        <v>1.7</v>
      </c>
      <c r="E44" t="s">
        <v>84</v>
      </c>
      <c r="F44" s="2" t="s">
        <v>25</v>
      </c>
      <c r="G44" t="s">
        <v>18</v>
      </c>
      <c r="H44" t="s">
        <v>17</v>
      </c>
      <c r="I44" t="s">
        <v>21</v>
      </c>
      <c r="J44" t="s">
        <v>22</v>
      </c>
      <c r="K44" s="2" t="s">
        <v>25</v>
      </c>
      <c r="L44" t="s">
        <v>18</v>
      </c>
      <c r="M44" t="s">
        <v>17</v>
      </c>
      <c r="N44" t="s">
        <v>21</v>
      </c>
      <c r="O44" t="s">
        <v>22</v>
      </c>
    </row>
    <row r="45" spans="1:15">
      <c r="A45" t="s">
        <v>66</v>
      </c>
      <c r="B45">
        <f t="shared" ref="B45:C64" si="1">1/6.4</f>
        <v>0.15625</v>
      </c>
      <c r="C45">
        <f t="shared" si="1"/>
        <v>0.15625</v>
      </c>
      <c r="D45">
        <v>1.6</v>
      </c>
      <c r="E45" t="s">
        <v>84</v>
      </c>
      <c r="F45" s="2" t="s">
        <v>23</v>
      </c>
      <c r="G45" t="s">
        <v>20</v>
      </c>
      <c r="H45" t="s">
        <v>25</v>
      </c>
      <c r="I45" t="s">
        <v>19</v>
      </c>
      <c r="J45" t="s">
        <v>21</v>
      </c>
      <c r="K45" s="2" t="s">
        <v>23</v>
      </c>
      <c r="L45" t="s">
        <v>20</v>
      </c>
      <c r="M45" t="s">
        <v>25</v>
      </c>
      <c r="N45" t="s">
        <v>19</v>
      </c>
      <c r="O45" t="s">
        <v>21</v>
      </c>
    </row>
    <row r="46" spans="1:15">
      <c r="A46" t="s">
        <v>66</v>
      </c>
      <c r="B46">
        <f t="shared" si="1"/>
        <v>0.15625</v>
      </c>
      <c r="C46">
        <f t="shared" si="1"/>
        <v>0.15625</v>
      </c>
      <c r="D46">
        <v>1.5</v>
      </c>
      <c r="E46" t="s">
        <v>84</v>
      </c>
      <c r="F46" s="2" t="s">
        <v>19</v>
      </c>
      <c r="G46" t="s">
        <v>20</v>
      </c>
      <c r="H46" t="s">
        <v>22</v>
      </c>
      <c r="I46" t="s">
        <v>25</v>
      </c>
      <c r="J46" t="s">
        <v>23</v>
      </c>
      <c r="K46" s="2" t="s">
        <v>19</v>
      </c>
      <c r="L46" t="s">
        <v>20</v>
      </c>
      <c r="M46" t="s">
        <v>22</v>
      </c>
      <c r="N46" t="s">
        <v>25</v>
      </c>
      <c r="O46" t="s">
        <v>23</v>
      </c>
    </row>
    <row r="47" spans="1:15">
      <c r="A47" t="s">
        <v>66</v>
      </c>
      <c r="B47">
        <f t="shared" si="1"/>
        <v>0.15625</v>
      </c>
      <c r="C47">
        <f t="shared" si="1"/>
        <v>0.15625</v>
      </c>
      <c r="D47">
        <v>1.4</v>
      </c>
      <c r="E47" t="s">
        <v>84</v>
      </c>
      <c r="F47" s="2" t="s">
        <v>25</v>
      </c>
      <c r="G47" t="s">
        <v>17</v>
      </c>
      <c r="H47" t="s">
        <v>26</v>
      </c>
      <c r="I47" t="s">
        <v>21</v>
      </c>
      <c r="J47" t="s">
        <v>22</v>
      </c>
      <c r="K47" s="2" t="s">
        <v>25</v>
      </c>
      <c r="L47" t="s">
        <v>17</v>
      </c>
      <c r="M47" t="s">
        <v>26</v>
      </c>
      <c r="N47" t="s">
        <v>21</v>
      </c>
      <c r="O47" t="s">
        <v>22</v>
      </c>
    </row>
    <row r="48" spans="1:15">
      <c r="A48" t="s">
        <v>66</v>
      </c>
      <c r="B48">
        <f t="shared" si="1"/>
        <v>0.15625</v>
      </c>
      <c r="C48">
        <f t="shared" si="1"/>
        <v>0.15625</v>
      </c>
      <c r="D48">
        <v>1.3</v>
      </c>
      <c r="E48" t="s">
        <v>84</v>
      </c>
      <c r="F48" s="2" t="s">
        <v>18</v>
      </c>
      <c r="G48" t="s">
        <v>21</v>
      </c>
      <c r="H48" t="s">
        <v>23</v>
      </c>
      <c r="I48" t="s">
        <v>19</v>
      </c>
      <c r="J48" t="s">
        <v>24</v>
      </c>
      <c r="K48" s="2" t="s">
        <v>18</v>
      </c>
      <c r="L48" t="s">
        <v>21</v>
      </c>
      <c r="M48" t="s">
        <v>23</v>
      </c>
      <c r="N48" t="s">
        <v>19</v>
      </c>
      <c r="O48" t="s">
        <v>24</v>
      </c>
    </row>
    <row r="49" spans="1:15">
      <c r="A49" t="s">
        <v>66</v>
      </c>
      <c r="B49">
        <f t="shared" si="1"/>
        <v>0.15625</v>
      </c>
      <c r="C49">
        <f t="shared" si="1"/>
        <v>0.15625</v>
      </c>
      <c r="D49">
        <v>1.2</v>
      </c>
      <c r="E49" t="s">
        <v>84</v>
      </c>
      <c r="F49" s="2" t="s">
        <v>20</v>
      </c>
      <c r="G49" t="s">
        <v>17</v>
      </c>
      <c r="H49" t="s">
        <v>25</v>
      </c>
      <c r="I49" t="s">
        <v>19</v>
      </c>
      <c r="J49" t="s">
        <v>23</v>
      </c>
      <c r="K49" s="2" t="s">
        <v>20</v>
      </c>
      <c r="L49" t="s">
        <v>17</v>
      </c>
      <c r="M49" t="s">
        <v>25</v>
      </c>
      <c r="N49" t="s">
        <v>19</v>
      </c>
      <c r="O49" t="s">
        <v>23</v>
      </c>
    </row>
    <row r="50" spans="1:15">
      <c r="A50" t="s">
        <v>66</v>
      </c>
      <c r="B50">
        <f t="shared" si="1"/>
        <v>0.15625</v>
      </c>
      <c r="C50">
        <f t="shared" si="1"/>
        <v>0.15625</v>
      </c>
      <c r="D50">
        <v>1.1000000000000001</v>
      </c>
      <c r="E50" t="s">
        <v>84</v>
      </c>
      <c r="F50" s="2" t="s">
        <v>23</v>
      </c>
      <c r="G50" t="s">
        <v>26</v>
      </c>
      <c r="H50" t="s">
        <v>24</v>
      </c>
      <c r="I50" t="s">
        <v>25</v>
      </c>
      <c r="J50" t="s">
        <v>18</v>
      </c>
      <c r="K50" s="2" t="s">
        <v>23</v>
      </c>
      <c r="L50" t="s">
        <v>26</v>
      </c>
      <c r="M50" t="s">
        <v>24</v>
      </c>
      <c r="N50" t="s">
        <v>25</v>
      </c>
      <c r="O50" t="s">
        <v>18</v>
      </c>
    </row>
    <row r="51" spans="1:15">
      <c r="A51" t="s">
        <v>66</v>
      </c>
      <c r="B51">
        <f t="shared" si="1"/>
        <v>0.15625</v>
      </c>
      <c r="C51">
        <f t="shared" si="1"/>
        <v>0.15625</v>
      </c>
      <c r="D51">
        <v>1</v>
      </c>
      <c r="E51" t="s">
        <v>84</v>
      </c>
      <c r="F51" s="2" t="s">
        <v>23</v>
      </c>
      <c r="G51" t="s">
        <v>17</v>
      </c>
      <c r="H51" t="s">
        <v>19</v>
      </c>
      <c r="I51" t="s">
        <v>26</v>
      </c>
      <c r="J51" t="s">
        <v>18</v>
      </c>
      <c r="K51" s="2" t="s">
        <v>23</v>
      </c>
      <c r="L51" t="s">
        <v>17</v>
      </c>
      <c r="M51" t="s">
        <v>19</v>
      </c>
      <c r="N51" t="s">
        <v>26</v>
      </c>
      <c r="O51" t="s">
        <v>18</v>
      </c>
    </row>
    <row r="52" spans="1:15">
      <c r="A52" t="s">
        <v>66</v>
      </c>
      <c r="B52">
        <f t="shared" si="1"/>
        <v>0.15625</v>
      </c>
      <c r="C52">
        <f t="shared" si="1"/>
        <v>0.15625</v>
      </c>
      <c r="D52">
        <v>0.90000000000000102</v>
      </c>
      <c r="E52" t="s">
        <v>84</v>
      </c>
      <c r="F52" s="2" t="s">
        <v>23</v>
      </c>
      <c r="G52" t="s">
        <v>22</v>
      </c>
      <c r="H52" t="s">
        <v>20</v>
      </c>
      <c r="I52" t="s">
        <v>26</v>
      </c>
      <c r="J52" t="s">
        <v>19</v>
      </c>
      <c r="K52" s="2" t="s">
        <v>23</v>
      </c>
      <c r="L52" t="s">
        <v>22</v>
      </c>
      <c r="M52" t="s">
        <v>20</v>
      </c>
      <c r="N52" t="s">
        <v>26</v>
      </c>
      <c r="O52" t="s">
        <v>19</v>
      </c>
    </row>
    <row r="53" spans="1:15">
      <c r="A53" t="s">
        <v>66</v>
      </c>
      <c r="B53">
        <f t="shared" si="1"/>
        <v>0.15625</v>
      </c>
      <c r="C53">
        <f t="shared" si="1"/>
        <v>0.15625</v>
      </c>
      <c r="D53">
        <v>0.80000000000000104</v>
      </c>
      <c r="E53" t="s">
        <v>84</v>
      </c>
      <c r="F53" s="2" t="s">
        <v>24</v>
      </c>
      <c r="G53" t="s">
        <v>23</v>
      </c>
      <c r="H53" t="s">
        <v>26</v>
      </c>
      <c r="I53" t="s">
        <v>18</v>
      </c>
      <c r="J53" t="s">
        <v>20</v>
      </c>
      <c r="K53" s="2" t="s">
        <v>24</v>
      </c>
      <c r="L53" t="s">
        <v>23</v>
      </c>
      <c r="M53" t="s">
        <v>26</v>
      </c>
      <c r="N53" t="s">
        <v>18</v>
      </c>
      <c r="O53" t="s">
        <v>20</v>
      </c>
    </row>
    <row r="54" spans="1:15">
      <c r="A54" t="s">
        <v>66</v>
      </c>
      <c r="B54">
        <f t="shared" si="1"/>
        <v>0.15625</v>
      </c>
      <c r="C54">
        <f t="shared" si="1"/>
        <v>0.15625</v>
      </c>
      <c r="D54">
        <v>0.70000000000000095</v>
      </c>
      <c r="E54" t="s">
        <v>84</v>
      </c>
      <c r="F54" s="2" t="s">
        <v>17</v>
      </c>
      <c r="G54" t="s">
        <v>24</v>
      </c>
      <c r="H54" t="s">
        <v>18</v>
      </c>
      <c r="I54" t="s">
        <v>19</v>
      </c>
      <c r="J54" t="s">
        <v>26</v>
      </c>
      <c r="K54" s="2" t="s">
        <v>17</v>
      </c>
      <c r="L54" t="s">
        <v>24</v>
      </c>
      <c r="M54" t="s">
        <v>18</v>
      </c>
      <c r="N54" t="s">
        <v>19</v>
      </c>
      <c r="O54" t="s">
        <v>26</v>
      </c>
    </row>
    <row r="55" spans="1:15">
      <c r="A55" t="s">
        <v>66</v>
      </c>
      <c r="B55">
        <f t="shared" si="1"/>
        <v>0.15625</v>
      </c>
      <c r="C55">
        <f t="shared" si="1"/>
        <v>0.15625</v>
      </c>
      <c r="D55">
        <v>0.6</v>
      </c>
      <c r="E55" t="s">
        <v>84</v>
      </c>
      <c r="F55" s="2" t="s">
        <v>24</v>
      </c>
      <c r="G55" t="s">
        <v>26</v>
      </c>
      <c r="H55" t="s">
        <v>25</v>
      </c>
      <c r="I55" t="s">
        <v>20</v>
      </c>
      <c r="J55" t="s">
        <v>19</v>
      </c>
      <c r="K55" s="2"/>
      <c r="L55" t="s">
        <v>26</v>
      </c>
    </row>
    <row r="56" spans="1:15">
      <c r="A56" t="s">
        <v>66</v>
      </c>
      <c r="B56">
        <f t="shared" si="1"/>
        <v>0.15625</v>
      </c>
      <c r="C56">
        <f t="shared" si="1"/>
        <v>0.15625</v>
      </c>
      <c r="D56">
        <v>0.5</v>
      </c>
      <c r="E56" t="s">
        <v>84</v>
      </c>
      <c r="F56" s="2" t="s">
        <v>22</v>
      </c>
      <c r="G56" t="s">
        <v>18</v>
      </c>
      <c r="H56" t="s">
        <v>24</v>
      </c>
      <c r="I56" t="s">
        <v>25</v>
      </c>
      <c r="J56" t="s">
        <v>26</v>
      </c>
    </row>
    <row r="57" spans="1:15">
      <c r="A57" t="s">
        <v>66</v>
      </c>
      <c r="B57">
        <f t="shared" si="1"/>
        <v>0.15625</v>
      </c>
      <c r="C57">
        <f t="shared" si="1"/>
        <v>0.15625</v>
      </c>
      <c r="D57">
        <v>0.4</v>
      </c>
      <c r="E57" t="s">
        <v>84</v>
      </c>
      <c r="F57" s="2" t="s">
        <v>20</v>
      </c>
      <c r="G57" t="s">
        <v>17</v>
      </c>
      <c r="H57" t="s">
        <v>18</v>
      </c>
      <c r="I57" t="s">
        <v>19</v>
      </c>
      <c r="J57" t="s">
        <v>26</v>
      </c>
    </row>
    <row r="58" spans="1:15">
      <c r="A58" t="s">
        <v>66</v>
      </c>
      <c r="B58">
        <f t="shared" si="1"/>
        <v>0.15625</v>
      </c>
      <c r="C58">
        <f t="shared" si="1"/>
        <v>0.15625</v>
      </c>
      <c r="D58">
        <v>0.3</v>
      </c>
      <c r="E58" t="s">
        <v>84</v>
      </c>
      <c r="F58" s="2" t="s">
        <v>23</v>
      </c>
      <c r="G58" t="s">
        <v>25</v>
      </c>
      <c r="H58" t="s">
        <v>17</v>
      </c>
      <c r="I58" t="s">
        <v>22</v>
      </c>
      <c r="J58" t="s">
        <v>21</v>
      </c>
    </row>
    <row r="59" spans="1:15">
      <c r="A59" t="s">
        <v>66</v>
      </c>
      <c r="B59">
        <f t="shared" si="1"/>
        <v>0.15625</v>
      </c>
      <c r="C59">
        <f t="shared" si="1"/>
        <v>0.15625</v>
      </c>
      <c r="D59">
        <v>0.2</v>
      </c>
      <c r="E59" t="s">
        <v>84</v>
      </c>
      <c r="F59" s="2" t="s">
        <v>19</v>
      </c>
      <c r="G59" t="s">
        <v>22</v>
      </c>
      <c r="H59" t="s">
        <v>20</v>
      </c>
      <c r="I59" t="s">
        <v>21</v>
      </c>
      <c r="J59" t="s">
        <v>26</v>
      </c>
    </row>
    <row r="60" spans="1:15">
      <c r="A60" t="s">
        <v>66</v>
      </c>
      <c r="B60">
        <f t="shared" si="1"/>
        <v>0.15625</v>
      </c>
      <c r="C60">
        <f t="shared" si="1"/>
        <v>0.15625</v>
      </c>
      <c r="D60">
        <v>9.9999999999999895E-2</v>
      </c>
      <c r="E60" t="s">
        <v>84</v>
      </c>
      <c r="F60" s="2" t="s">
        <v>21</v>
      </c>
      <c r="G60" t="s">
        <v>23</v>
      </c>
      <c r="H60" t="s">
        <v>25</v>
      </c>
      <c r="I60" t="s">
        <v>19</v>
      </c>
      <c r="J60" t="s">
        <v>17</v>
      </c>
    </row>
    <row r="61" spans="1:15">
      <c r="A61" t="s">
        <v>66</v>
      </c>
      <c r="B61">
        <f t="shared" si="1"/>
        <v>0.15625</v>
      </c>
      <c r="C61">
        <f t="shared" si="1"/>
        <v>0.15625</v>
      </c>
      <c r="D61">
        <v>0</v>
      </c>
      <c r="E61" t="s">
        <v>84</v>
      </c>
      <c r="F61" s="2" t="s">
        <v>26</v>
      </c>
      <c r="G61" t="s">
        <v>24</v>
      </c>
      <c r="H61" t="s">
        <v>23</v>
      </c>
      <c r="I61" t="s">
        <v>21</v>
      </c>
      <c r="J61" t="s">
        <v>22</v>
      </c>
    </row>
    <row r="62" spans="1:15">
      <c r="A62" t="s">
        <v>66</v>
      </c>
      <c r="B62">
        <f t="shared" si="1"/>
        <v>0.15625</v>
      </c>
      <c r="C62">
        <f t="shared" si="1"/>
        <v>0.15625</v>
      </c>
      <c r="D62">
        <v>-0.1</v>
      </c>
      <c r="E62" t="s">
        <v>84</v>
      </c>
      <c r="F62" s="2" t="s">
        <v>19</v>
      </c>
      <c r="G62" t="s">
        <v>22</v>
      </c>
      <c r="H62" t="s">
        <v>23</v>
      </c>
      <c r="I62" t="s">
        <v>18</v>
      </c>
      <c r="J62" t="s">
        <v>26</v>
      </c>
    </row>
    <row r="63" spans="1:15">
      <c r="A63" t="s">
        <v>66</v>
      </c>
      <c r="B63">
        <f t="shared" si="1"/>
        <v>0.15625</v>
      </c>
      <c r="C63">
        <f t="shared" si="1"/>
        <v>0.15625</v>
      </c>
      <c r="D63">
        <v>-0.2</v>
      </c>
      <c r="E63" t="s">
        <v>84</v>
      </c>
      <c r="F63" s="2" t="s">
        <v>26</v>
      </c>
      <c r="G63" t="s">
        <v>23</v>
      </c>
      <c r="H63" t="s">
        <v>20</v>
      </c>
      <c r="I63" t="s">
        <v>25</v>
      </c>
      <c r="J63" t="s">
        <v>17</v>
      </c>
    </row>
    <row r="64" spans="1:15">
      <c r="A64" t="s">
        <v>66</v>
      </c>
      <c r="B64">
        <f t="shared" si="1"/>
        <v>0.15625</v>
      </c>
      <c r="C64">
        <f t="shared" si="1"/>
        <v>0.15625</v>
      </c>
      <c r="D64">
        <v>-0.3</v>
      </c>
      <c r="E64" t="s">
        <v>84</v>
      </c>
      <c r="F64" s="2" t="s">
        <v>19</v>
      </c>
      <c r="G64" t="s">
        <v>25</v>
      </c>
      <c r="H64" t="s">
        <v>26</v>
      </c>
      <c r="I64" t="s">
        <v>24</v>
      </c>
      <c r="J64" t="s">
        <v>23</v>
      </c>
    </row>
    <row r="65" spans="1:15">
      <c r="A65" t="s">
        <v>67</v>
      </c>
      <c r="B65">
        <f>1/11.65</f>
        <v>8.5836909871244635E-2</v>
      </c>
      <c r="C65">
        <f>1/11.65</f>
        <v>8.5836909871244635E-2</v>
      </c>
      <c r="D65">
        <v>1.7</v>
      </c>
      <c r="E65" t="s">
        <v>84</v>
      </c>
      <c r="F65" s="2" t="s">
        <v>26</v>
      </c>
      <c r="G65" t="s">
        <v>23</v>
      </c>
      <c r="H65" t="s">
        <v>19</v>
      </c>
      <c r="I65" t="s">
        <v>25</v>
      </c>
      <c r="J65" t="s">
        <v>18</v>
      </c>
      <c r="K65" s="2" t="s">
        <v>26</v>
      </c>
      <c r="L65" t="s">
        <v>23</v>
      </c>
      <c r="M65" t="s">
        <v>19</v>
      </c>
      <c r="N65" t="s">
        <v>25</v>
      </c>
      <c r="O65" t="s">
        <v>18</v>
      </c>
    </row>
    <row r="66" spans="1:15">
      <c r="A66" t="s">
        <v>67</v>
      </c>
      <c r="B66">
        <f t="shared" ref="B66:C85" si="2">1/11.65</f>
        <v>8.5836909871244635E-2</v>
      </c>
      <c r="C66">
        <f t="shared" si="2"/>
        <v>8.5836909871244635E-2</v>
      </c>
      <c r="D66">
        <v>1.6</v>
      </c>
      <c r="E66" t="s">
        <v>84</v>
      </c>
      <c r="F66" s="2" t="s">
        <v>17</v>
      </c>
      <c r="G66" t="s">
        <v>21</v>
      </c>
      <c r="H66" t="s">
        <v>25</v>
      </c>
      <c r="I66" t="s">
        <v>22</v>
      </c>
      <c r="J66" t="s">
        <v>18</v>
      </c>
      <c r="K66" s="2" t="s">
        <v>17</v>
      </c>
      <c r="L66" t="s">
        <v>21</v>
      </c>
      <c r="M66" t="s">
        <v>25</v>
      </c>
      <c r="N66" t="s">
        <v>22</v>
      </c>
      <c r="O66" t="s">
        <v>18</v>
      </c>
    </row>
    <row r="67" spans="1:15">
      <c r="A67" t="s">
        <v>67</v>
      </c>
      <c r="B67">
        <f t="shared" si="2"/>
        <v>8.5836909871244635E-2</v>
      </c>
      <c r="C67">
        <f t="shared" si="2"/>
        <v>8.5836909871244635E-2</v>
      </c>
      <c r="D67">
        <v>1.5</v>
      </c>
      <c r="E67" t="s">
        <v>84</v>
      </c>
      <c r="F67" s="2" t="s">
        <v>22</v>
      </c>
      <c r="G67" t="s">
        <v>18</v>
      </c>
      <c r="H67" t="s">
        <v>19</v>
      </c>
      <c r="I67" t="s">
        <v>20</v>
      </c>
      <c r="J67" t="s">
        <v>17</v>
      </c>
      <c r="K67" s="2" t="s">
        <v>22</v>
      </c>
      <c r="L67" t="s">
        <v>18</v>
      </c>
      <c r="M67" t="s">
        <v>19</v>
      </c>
      <c r="N67" t="s">
        <v>20</v>
      </c>
      <c r="O67" t="s">
        <v>17</v>
      </c>
    </row>
    <row r="68" spans="1:15">
      <c r="A68" t="s">
        <v>67</v>
      </c>
      <c r="B68">
        <f t="shared" si="2"/>
        <v>8.5836909871244635E-2</v>
      </c>
      <c r="C68">
        <f t="shared" si="2"/>
        <v>8.5836909871244635E-2</v>
      </c>
      <c r="D68">
        <v>1.4</v>
      </c>
      <c r="E68" t="s">
        <v>84</v>
      </c>
      <c r="F68" s="2" t="s">
        <v>23</v>
      </c>
      <c r="G68" t="s">
        <v>26</v>
      </c>
      <c r="H68" t="s">
        <v>17</v>
      </c>
      <c r="I68" t="s">
        <v>20</v>
      </c>
      <c r="J68" t="s">
        <v>21</v>
      </c>
      <c r="K68" s="2" t="s">
        <v>23</v>
      </c>
      <c r="L68" t="s">
        <v>26</v>
      </c>
      <c r="M68" t="s">
        <v>17</v>
      </c>
      <c r="N68" t="s">
        <v>20</v>
      </c>
      <c r="O68" t="s">
        <v>21</v>
      </c>
    </row>
    <row r="69" spans="1:15">
      <c r="A69" t="s">
        <v>67</v>
      </c>
      <c r="B69">
        <f t="shared" si="2"/>
        <v>8.5836909871244635E-2</v>
      </c>
      <c r="C69">
        <f t="shared" si="2"/>
        <v>8.5836909871244635E-2</v>
      </c>
      <c r="D69">
        <v>1.3</v>
      </c>
      <c r="E69" t="s">
        <v>84</v>
      </c>
      <c r="F69" s="2" t="s">
        <v>21</v>
      </c>
      <c r="G69" t="s">
        <v>26</v>
      </c>
      <c r="H69" t="s">
        <v>20</v>
      </c>
      <c r="I69" t="s">
        <v>19</v>
      </c>
      <c r="J69" t="s">
        <v>24</v>
      </c>
      <c r="K69" s="2" t="s">
        <v>21</v>
      </c>
      <c r="L69" t="s">
        <v>26</v>
      </c>
      <c r="M69" t="s">
        <v>20</v>
      </c>
      <c r="N69" t="s">
        <v>19</v>
      </c>
      <c r="O69" t="s">
        <v>24</v>
      </c>
    </row>
    <row r="70" spans="1:15">
      <c r="A70" t="s">
        <v>67</v>
      </c>
      <c r="B70">
        <f t="shared" si="2"/>
        <v>8.5836909871244635E-2</v>
      </c>
      <c r="C70">
        <f t="shared" si="2"/>
        <v>8.5836909871244635E-2</v>
      </c>
      <c r="D70">
        <v>1.2</v>
      </c>
      <c r="E70" t="s">
        <v>84</v>
      </c>
      <c r="F70" s="2" t="s">
        <v>21</v>
      </c>
      <c r="G70" t="s">
        <v>22</v>
      </c>
      <c r="H70" t="s">
        <v>24</v>
      </c>
      <c r="I70" t="s">
        <v>26</v>
      </c>
      <c r="J70" t="s">
        <v>17</v>
      </c>
      <c r="K70" s="2" t="s">
        <v>21</v>
      </c>
      <c r="L70" t="s">
        <v>22</v>
      </c>
      <c r="M70" t="s">
        <v>24</v>
      </c>
      <c r="N70" t="s">
        <v>26</v>
      </c>
      <c r="O70" t="s">
        <v>17</v>
      </c>
    </row>
    <row r="71" spans="1:15">
      <c r="A71" t="s">
        <v>67</v>
      </c>
      <c r="B71">
        <f t="shared" si="2"/>
        <v>8.5836909871244635E-2</v>
      </c>
      <c r="C71">
        <f t="shared" si="2"/>
        <v>8.5836909871244635E-2</v>
      </c>
      <c r="D71">
        <v>1.1000000000000001</v>
      </c>
      <c r="E71" t="s">
        <v>84</v>
      </c>
      <c r="F71" s="2" t="s">
        <v>24</v>
      </c>
      <c r="G71" t="s">
        <v>23</v>
      </c>
      <c r="H71" t="s">
        <v>21</v>
      </c>
      <c r="I71" t="s">
        <v>17</v>
      </c>
      <c r="J71" t="s">
        <v>22</v>
      </c>
      <c r="K71" s="2" t="s">
        <v>24</v>
      </c>
      <c r="L71" t="s">
        <v>23</v>
      </c>
      <c r="M71" t="s">
        <v>21</v>
      </c>
      <c r="N71" t="s">
        <v>17</v>
      </c>
      <c r="O71" t="s">
        <v>22</v>
      </c>
    </row>
    <row r="72" spans="1:15">
      <c r="A72" t="s">
        <v>67</v>
      </c>
      <c r="B72">
        <f t="shared" si="2"/>
        <v>8.5836909871244635E-2</v>
      </c>
      <c r="C72">
        <f t="shared" si="2"/>
        <v>8.5836909871244635E-2</v>
      </c>
      <c r="D72">
        <v>1</v>
      </c>
      <c r="E72" t="s">
        <v>84</v>
      </c>
      <c r="F72" s="2" t="s">
        <v>22</v>
      </c>
      <c r="G72" t="s">
        <v>24</v>
      </c>
      <c r="H72" t="s">
        <v>18</v>
      </c>
      <c r="I72" t="s">
        <v>21</v>
      </c>
      <c r="J72" t="s">
        <v>19</v>
      </c>
      <c r="K72" s="2"/>
      <c r="M72" t="s">
        <v>18</v>
      </c>
    </row>
    <row r="73" spans="1:15">
      <c r="A73" t="s">
        <v>67</v>
      </c>
      <c r="B73">
        <f t="shared" si="2"/>
        <v>8.5836909871244635E-2</v>
      </c>
      <c r="C73">
        <f t="shared" si="2"/>
        <v>8.5836909871244635E-2</v>
      </c>
      <c r="D73">
        <v>0.90000000000000102</v>
      </c>
      <c r="E73" t="s">
        <v>84</v>
      </c>
      <c r="F73" s="2" t="s">
        <v>19</v>
      </c>
      <c r="G73" t="s">
        <v>23</v>
      </c>
      <c r="H73" t="s">
        <v>22</v>
      </c>
      <c r="I73" t="s">
        <v>17</v>
      </c>
      <c r="J73" t="s">
        <v>26</v>
      </c>
    </row>
    <row r="74" spans="1:15">
      <c r="A74" t="s">
        <v>67</v>
      </c>
      <c r="B74">
        <f t="shared" si="2"/>
        <v>8.5836909871244635E-2</v>
      </c>
      <c r="C74">
        <f t="shared" si="2"/>
        <v>8.5836909871244635E-2</v>
      </c>
      <c r="D74">
        <v>0.80000000000000104</v>
      </c>
      <c r="E74" t="s">
        <v>84</v>
      </c>
      <c r="F74" s="2" t="s">
        <v>26</v>
      </c>
      <c r="G74" t="s">
        <v>20</v>
      </c>
      <c r="H74" t="s">
        <v>21</v>
      </c>
      <c r="I74" t="s">
        <v>18</v>
      </c>
      <c r="J74" t="s">
        <v>19</v>
      </c>
    </row>
    <row r="75" spans="1:15">
      <c r="A75" t="s">
        <v>67</v>
      </c>
      <c r="B75">
        <f t="shared" si="2"/>
        <v>8.5836909871244635E-2</v>
      </c>
      <c r="C75">
        <f t="shared" si="2"/>
        <v>8.5836909871244635E-2</v>
      </c>
      <c r="D75">
        <v>0.70000000000000095</v>
      </c>
      <c r="E75" t="s">
        <v>84</v>
      </c>
      <c r="F75" s="2" t="s">
        <v>25</v>
      </c>
      <c r="G75" t="s">
        <v>21</v>
      </c>
      <c r="H75" t="s">
        <v>24</v>
      </c>
      <c r="I75" t="s">
        <v>22</v>
      </c>
      <c r="J75" t="s">
        <v>17</v>
      </c>
    </row>
    <row r="76" spans="1:15">
      <c r="A76" t="s">
        <v>67</v>
      </c>
      <c r="B76">
        <f t="shared" si="2"/>
        <v>8.5836909871244635E-2</v>
      </c>
      <c r="C76">
        <f t="shared" si="2"/>
        <v>8.5836909871244635E-2</v>
      </c>
      <c r="D76">
        <v>0.6</v>
      </c>
      <c r="E76" t="s">
        <v>84</v>
      </c>
      <c r="F76" s="2" t="s">
        <v>23</v>
      </c>
      <c r="G76" t="s">
        <v>18</v>
      </c>
      <c r="H76" t="s">
        <v>17</v>
      </c>
      <c r="I76" t="s">
        <v>26</v>
      </c>
      <c r="J76" t="s">
        <v>25</v>
      </c>
    </row>
    <row r="77" spans="1:15">
      <c r="A77" t="s">
        <v>67</v>
      </c>
      <c r="B77">
        <f t="shared" si="2"/>
        <v>8.5836909871244635E-2</v>
      </c>
      <c r="C77">
        <f t="shared" si="2"/>
        <v>8.5836909871244635E-2</v>
      </c>
      <c r="D77">
        <v>0.5</v>
      </c>
      <c r="E77" t="s">
        <v>84</v>
      </c>
      <c r="F77" s="2" t="s">
        <v>17</v>
      </c>
      <c r="G77" t="s">
        <v>25</v>
      </c>
      <c r="H77" t="s">
        <v>23</v>
      </c>
      <c r="I77" t="s">
        <v>20</v>
      </c>
      <c r="J77" t="s">
        <v>18</v>
      </c>
    </row>
    <row r="78" spans="1:15">
      <c r="A78" t="s">
        <v>67</v>
      </c>
      <c r="B78">
        <f t="shared" si="2"/>
        <v>8.5836909871244635E-2</v>
      </c>
      <c r="C78">
        <f t="shared" si="2"/>
        <v>8.5836909871244635E-2</v>
      </c>
      <c r="D78">
        <v>0.4</v>
      </c>
      <c r="E78" t="s">
        <v>84</v>
      </c>
      <c r="F78" s="2" t="s">
        <v>24</v>
      </c>
      <c r="G78" t="s">
        <v>17</v>
      </c>
      <c r="H78" t="s">
        <v>26</v>
      </c>
      <c r="I78" t="s">
        <v>23</v>
      </c>
      <c r="J78" t="s">
        <v>19</v>
      </c>
    </row>
    <row r="79" spans="1:15">
      <c r="A79" t="s">
        <v>67</v>
      </c>
      <c r="B79">
        <f t="shared" si="2"/>
        <v>8.5836909871244635E-2</v>
      </c>
      <c r="C79">
        <f t="shared" si="2"/>
        <v>8.5836909871244635E-2</v>
      </c>
      <c r="D79">
        <v>0.3</v>
      </c>
      <c r="E79" t="s">
        <v>84</v>
      </c>
      <c r="F79" s="2" t="s">
        <v>26</v>
      </c>
      <c r="G79" t="s">
        <v>18</v>
      </c>
      <c r="H79" t="s">
        <v>21</v>
      </c>
      <c r="I79" t="s">
        <v>24</v>
      </c>
      <c r="J79" t="s">
        <v>22</v>
      </c>
    </row>
    <row r="80" spans="1:15">
      <c r="A80" t="s">
        <v>67</v>
      </c>
      <c r="B80">
        <f t="shared" si="2"/>
        <v>8.5836909871244635E-2</v>
      </c>
      <c r="C80">
        <f t="shared" si="2"/>
        <v>8.5836909871244635E-2</v>
      </c>
      <c r="D80">
        <v>0.2</v>
      </c>
      <c r="E80" t="s">
        <v>84</v>
      </c>
      <c r="F80" s="2" t="s">
        <v>26</v>
      </c>
      <c r="G80" t="s">
        <v>25</v>
      </c>
      <c r="H80" t="s">
        <v>20</v>
      </c>
      <c r="I80" t="s">
        <v>17</v>
      </c>
      <c r="J80" t="s">
        <v>23</v>
      </c>
    </row>
    <row r="81" spans="1:15">
      <c r="A81" t="s">
        <v>67</v>
      </c>
      <c r="B81">
        <f t="shared" si="2"/>
        <v>8.5836909871244635E-2</v>
      </c>
      <c r="C81">
        <f t="shared" si="2"/>
        <v>8.5836909871244635E-2</v>
      </c>
      <c r="D81">
        <v>9.9999999999999895E-2</v>
      </c>
      <c r="E81" t="s">
        <v>84</v>
      </c>
      <c r="F81" s="2" t="s">
        <v>23</v>
      </c>
      <c r="G81" t="s">
        <v>22</v>
      </c>
      <c r="H81" t="s">
        <v>25</v>
      </c>
      <c r="I81" t="s">
        <v>24</v>
      </c>
      <c r="J81" t="s">
        <v>26</v>
      </c>
    </row>
    <row r="82" spans="1:15">
      <c r="A82" t="s">
        <v>67</v>
      </c>
      <c r="B82">
        <f t="shared" si="2"/>
        <v>8.5836909871244635E-2</v>
      </c>
      <c r="C82">
        <f t="shared" si="2"/>
        <v>8.5836909871244635E-2</v>
      </c>
      <c r="D82">
        <v>0</v>
      </c>
      <c r="E82" t="s">
        <v>84</v>
      </c>
      <c r="F82" s="2" t="s">
        <v>24</v>
      </c>
      <c r="G82" t="s">
        <v>17</v>
      </c>
      <c r="H82" t="s">
        <v>23</v>
      </c>
      <c r="I82" t="s">
        <v>22</v>
      </c>
      <c r="J82" t="s">
        <v>25</v>
      </c>
    </row>
    <row r="83" spans="1:15">
      <c r="A83" t="s">
        <v>67</v>
      </c>
      <c r="B83">
        <f t="shared" si="2"/>
        <v>8.5836909871244635E-2</v>
      </c>
      <c r="C83">
        <f t="shared" si="2"/>
        <v>8.5836909871244635E-2</v>
      </c>
      <c r="D83">
        <v>-0.1</v>
      </c>
      <c r="E83" t="s">
        <v>84</v>
      </c>
      <c r="F83" s="2" t="s">
        <v>25</v>
      </c>
      <c r="G83" t="s">
        <v>22</v>
      </c>
      <c r="H83" t="s">
        <v>19</v>
      </c>
      <c r="I83" t="s">
        <v>17</v>
      </c>
      <c r="J83" t="s">
        <v>21</v>
      </c>
    </row>
    <row r="84" spans="1:15">
      <c r="A84" t="s">
        <v>67</v>
      </c>
      <c r="B84">
        <f t="shared" si="2"/>
        <v>8.5836909871244635E-2</v>
      </c>
      <c r="C84">
        <f t="shared" si="2"/>
        <v>8.5836909871244635E-2</v>
      </c>
      <c r="D84">
        <v>-0.2</v>
      </c>
      <c r="E84" t="s">
        <v>84</v>
      </c>
      <c r="F84" s="2" t="s">
        <v>23</v>
      </c>
      <c r="G84" t="s">
        <v>19</v>
      </c>
      <c r="H84" t="s">
        <v>26</v>
      </c>
      <c r="I84" t="s">
        <v>25</v>
      </c>
      <c r="J84" t="s">
        <v>21</v>
      </c>
    </row>
    <row r="85" spans="1:15">
      <c r="A85" t="s">
        <v>67</v>
      </c>
      <c r="B85">
        <f t="shared" si="2"/>
        <v>8.5836909871244635E-2</v>
      </c>
      <c r="C85">
        <f t="shared" si="2"/>
        <v>8.5836909871244635E-2</v>
      </c>
      <c r="D85">
        <v>-0.3</v>
      </c>
      <c r="E85" t="s">
        <v>84</v>
      </c>
      <c r="F85" s="2" t="s">
        <v>19</v>
      </c>
      <c r="G85" t="s">
        <v>24</v>
      </c>
      <c r="H85" t="s">
        <v>26</v>
      </c>
      <c r="I85" t="s">
        <v>20</v>
      </c>
      <c r="J85" t="s">
        <v>18</v>
      </c>
    </row>
    <row r="86" spans="1:15">
      <c r="A86" t="s">
        <v>68</v>
      </c>
      <c r="B86">
        <f>1/20.9</f>
        <v>4.784688995215311E-2</v>
      </c>
      <c r="C86">
        <f>1/20.9</f>
        <v>4.784688995215311E-2</v>
      </c>
      <c r="D86">
        <v>1.7</v>
      </c>
      <c r="E86" t="s">
        <v>84</v>
      </c>
      <c r="F86" s="2" t="s">
        <v>26</v>
      </c>
      <c r="G86" t="s">
        <v>17</v>
      </c>
      <c r="H86" t="s">
        <v>24</v>
      </c>
      <c r="I86" t="s">
        <v>19</v>
      </c>
      <c r="J86" t="s">
        <v>23</v>
      </c>
      <c r="K86" s="2" t="s">
        <v>26</v>
      </c>
      <c r="L86" t="s">
        <v>17</v>
      </c>
      <c r="M86" t="s">
        <v>24</v>
      </c>
      <c r="N86" t="s">
        <v>19</v>
      </c>
      <c r="O86" t="s">
        <v>23</v>
      </c>
    </row>
    <row r="87" spans="1:15">
      <c r="A87" t="s">
        <v>68</v>
      </c>
      <c r="B87">
        <f t="shared" ref="B87:C105" si="3">1/20.9</f>
        <v>4.784688995215311E-2</v>
      </c>
      <c r="C87">
        <f t="shared" si="3"/>
        <v>4.784688995215311E-2</v>
      </c>
      <c r="D87">
        <v>1.6</v>
      </c>
      <c r="E87" t="s">
        <v>84</v>
      </c>
      <c r="F87" s="2" t="s">
        <v>19</v>
      </c>
      <c r="G87" t="s">
        <v>20</v>
      </c>
      <c r="H87" t="s">
        <v>21</v>
      </c>
      <c r="I87" t="s">
        <v>18</v>
      </c>
      <c r="J87" t="s">
        <v>25</v>
      </c>
      <c r="K87" s="2" t="s">
        <v>19</v>
      </c>
      <c r="L87" t="s">
        <v>20</v>
      </c>
      <c r="M87" t="s">
        <v>21</v>
      </c>
      <c r="N87" t="s">
        <v>18</v>
      </c>
      <c r="O87" t="s">
        <v>25</v>
      </c>
    </row>
    <row r="88" spans="1:15">
      <c r="A88" t="s">
        <v>68</v>
      </c>
      <c r="B88">
        <f t="shared" si="3"/>
        <v>4.784688995215311E-2</v>
      </c>
      <c r="C88">
        <f t="shared" si="3"/>
        <v>4.784688995215311E-2</v>
      </c>
      <c r="D88">
        <v>1.5</v>
      </c>
      <c r="E88" t="s">
        <v>84</v>
      </c>
      <c r="F88" s="2" t="s">
        <v>17</v>
      </c>
      <c r="G88" t="s">
        <v>25</v>
      </c>
      <c r="H88" t="s">
        <v>23</v>
      </c>
      <c r="I88" t="s">
        <v>24</v>
      </c>
      <c r="J88" t="s">
        <v>18</v>
      </c>
      <c r="K88" s="2" t="s">
        <v>17</v>
      </c>
      <c r="L88" t="s">
        <v>25</v>
      </c>
      <c r="M88" t="s">
        <v>23</v>
      </c>
      <c r="N88" t="s">
        <v>24</v>
      </c>
      <c r="O88" t="s">
        <v>18</v>
      </c>
    </row>
    <row r="89" spans="1:15">
      <c r="A89" t="s">
        <v>68</v>
      </c>
      <c r="B89">
        <f t="shared" si="3"/>
        <v>4.784688995215311E-2</v>
      </c>
      <c r="C89">
        <f t="shared" si="3"/>
        <v>4.784688995215311E-2</v>
      </c>
      <c r="D89">
        <v>1.4</v>
      </c>
      <c r="E89" t="s">
        <v>84</v>
      </c>
      <c r="F89" s="2" t="s">
        <v>22</v>
      </c>
      <c r="G89" t="s">
        <v>21</v>
      </c>
      <c r="H89" t="s">
        <v>18</v>
      </c>
      <c r="I89" t="s">
        <v>26</v>
      </c>
      <c r="J89" t="s">
        <v>17</v>
      </c>
      <c r="K89" s="2"/>
      <c r="M89" t="s">
        <v>18</v>
      </c>
    </row>
    <row r="90" spans="1:15">
      <c r="A90" t="s">
        <v>68</v>
      </c>
      <c r="B90">
        <f t="shared" si="3"/>
        <v>4.784688995215311E-2</v>
      </c>
      <c r="C90">
        <f t="shared" si="3"/>
        <v>4.784688995215311E-2</v>
      </c>
      <c r="D90">
        <v>1.3</v>
      </c>
      <c r="E90" t="s">
        <v>84</v>
      </c>
      <c r="F90" s="2" t="s">
        <v>17</v>
      </c>
      <c r="G90" t="s">
        <v>21</v>
      </c>
      <c r="H90" t="s">
        <v>22</v>
      </c>
      <c r="I90" t="s">
        <v>26</v>
      </c>
      <c r="J90" t="s">
        <v>24</v>
      </c>
      <c r="K90" s="2"/>
    </row>
    <row r="91" spans="1:15">
      <c r="A91" t="s">
        <v>68</v>
      </c>
      <c r="B91">
        <f t="shared" si="3"/>
        <v>4.784688995215311E-2</v>
      </c>
      <c r="C91">
        <f t="shared" si="3"/>
        <v>4.784688995215311E-2</v>
      </c>
      <c r="D91">
        <v>1.2</v>
      </c>
      <c r="E91" t="s">
        <v>84</v>
      </c>
      <c r="F91" s="2" t="s">
        <v>18</v>
      </c>
      <c r="G91" t="s">
        <v>24</v>
      </c>
      <c r="H91" t="s">
        <v>26</v>
      </c>
      <c r="I91" t="s">
        <v>25</v>
      </c>
      <c r="J91" t="s">
        <v>17</v>
      </c>
      <c r="K91" s="2"/>
    </row>
    <row r="92" spans="1:15">
      <c r="A92" t="s">
        <v>68</v>
      </c>
      <c r="B92">
        <f t="shared" si="3"/>
        <v>4.784688995215311E-2</v>
      </c>
      <c r="C92">
        <f t="shared" si="3"/>
        <v>4.784688995215311E-2</v>
      </c>
      <c r="D92">
        <v>1.1000000000000001</v>
      </c>
      <c r="E92" t="s">
        <v>84</v>
      </c>
      <c r="F92" s="2" t="s">
        <v>19</v>
      </c>
      <c r="G92" t="s">
        <v>22</v>
      </c>
      <c r="H92" t="s">
        <v>25</v>
      </c>
      <c r="I92" t="s">
        <v>17</v>
      </c>
      <c r="J92" t="s">
        <v>24</v>
      </c>
    </row>
    <row r="93" spans="1:15">
      <c r="A93" t="s">
        <v>68</v>
      </c>
      <c r="B93">
        <f t="shared" si="3"/>
        <v>4.784688995215311E-2</v>
      </c>
      <c r="C93">
        <f t="shared" si="3"/>
        <v>4.784688995215311E-2</v>
      </c>
      <c r="D93">
        <v>1</v>
      </c>
      <c r="E93" t="s">
        <v>84</v>
      </c>
      <c r="F93" s="2" t="s">
        <v>20</v>
      </c>
      <c r="G93" t="s">
        <v>24</v>
      </c>
      <c r="H93" t="s">
        <v>23</v>
      </c>
      <c r="I93" t="s">
        <v>25</v>
      </c>
      <c r="J93" t="s">
        <v>17</v>
      </c>
    </row>
    <row r="94" spans="1:15">
      <c r="A94" t="s">
        <v>68</v>
      </c>
      <c r="B94">
        <f t="shared" si="3"/>
        <v>4.784688995215311E-2</v>
      </c>
      <c r="C94">
        <f t="shared" si="3"/>
        <v>4.784688995215311E-2</v>
      </c>
      <c r="D94">
        <v>0.90000000000000102</v>
      </c>
      <c r="E94" t="s">
        <v>84</v>
      </c>
      <c r="F94" s="2" t="s">
        <v>18</v>
      </c>
      <c r="G94" t="s">
        <v>17</v>
      </c>
      <c r="H94" t="s">
        <v>25</v>
      </c>
      <c r="I94" t="s">
        <v>22</v>
      </c>
      <c r="J94" t="s">
        <v>19</v>
      </c>
    </row>
    <row r="95" spans="1:15">
      <c r="A95" t="s">
        <v>68</v>
      </c>
      <c r="B95">
        <f t="shared" si="3"/>
        <v>4.784688995215311E-2</v>
      </c>
      <c r="C95">
        <f t="shared" si="3"/>
        <v>4.784688995215311E-2</v>
      </c>
      <c r="D95">
        <v>0.80000000000000104</v>
      </c>
      <c r="E95" t="s">
        <v>84</v>
      </c>
      <c r="F95" s="2" t="s">
        <v>19</v>
      </c>
      <c r="G95" t="s">
        <v>25</v>
      </c>
      <c r="H95" t="s">
        <v>17</v>
      </c>
      <c r="I95" t="s">
        <v>22</v>
      </c>
      <c r="J95" t="s">
        <v>23</v>
      </c>
    </row>
    <row r="96" spans="1:15">
      <c r="A96" t="s">
        <v>68</v>
      </c>
      <c r="B96">
        <f t="shared" si="3"/>
        <v>4.784688995215311E-2</v>
      </c>
      <c r="C96">
        <f t="shared" si="3"/>
        <v>4.784688995215311E-2</v>
      </c>
      <c r="D96">
        <v>0.70000000000000095</v>
      </c>
      <c r="E96" t="s">
        <v>84</v>
      </c>
      <c r="F96" s="2" t="s">
        <v>20</v>
      </c>
      <c r="G96" t="s">
        <v>21</v>
      </c>
      <c r="H96" t="s">
        <v>19</v>
      </c>
      <c r="I96" t="s">
        <v>23</v>
      </c>
      <c r="J96" t="s">
        <v>24</v>
      </c>
    </row>
    <row r="97" spans="1:11">
      <c r="A97" t="s">
        <v>68</v>
      </c>
      <c r="B97">
        <f t="shared" si="3"/>
        <v>4.784688995215311E-2</v>
      </c>
      <c r="C97">
        <f t="shared" si="3"/>
        <v>4.784688995215311E-2</v>
      </c>
      <c r="D97">
        <v>0.6</v>
      </c>
      <c r="E97" t="s">
        <v>84</v>
      </c>
      <c r="F97" s="2" t="s">
        <v>19</v>
      </c>
      <c r="G97" t="s">
        <v>22</v>
      </c>
      <c r="H97" t="s">
        <v>25</v>
      </c>
      <c r="I97" t="s">
        <v>18</v>
      </c>
      <c r="J97" t="s">
        <v>26</v>
      </c>
    </row>
    <row r="98" spans="1:11">
      <c r="A98" t="s">
        <v>68</v>
      </c>
      <c r="B98">
        <f t="shared" si="3"/>
        <v>4.784688995215311E-2</v>
      </c>
      <c r="C98">
        <f t="shared" si="3"/>
        <v>4.784688995215311E-2</v>
      </c>
      <c r="D98">
        <v>0.5</v>
      </c>
      <c r="E98" t="s">
        <v>84</v>
      </c>
      <c r="F98" s="2" t="s">
        <v>18</v>
      </c>
      <c r="G98" t="s">
        <v>21</v>
      </c>
      <c r="H98" t="s">
        <v>23</v>
      </c>
      <c r="I98" t="s">
        <v>22</v>
      </c>
      <c r="J98" t="s">
        <v>20</v>
      </c>
    </row>
    <row r="99" spans="1:11">
      <c r="A99" t="s">
        <v>68</v>
      </c>
      <c r="B99">
        <f t="shared" si="3"/>
        <v>4.784688995215311E-2</v>
      </c>
      <c r="C99">
        <f t="shared" si="3"/>
        <v>4.784688995215311E-2</v>
      </c>
      <c r="D99">
        <v>0.4</v>
      </c>
      <c r="E99" t="s">
        <v>84</v>
      </c>
      <c r="F99" s="2" t="s">
        <v>18</v>
      </c>
      <c r="G99" t="s">
        <v>25</v>
      </c>
      <c r="H99" t="s">
        <v>21</v>
      </c>
      <c r="I99" t="s">
        <v>20</v>
      </c>
      <c r="J99" t="s">
        <v>23</v>
      </c>
    </row>
    <row r="100" spans="1:11">
      <c r="A100" t="s">
        <v>68</v>
      </c>
      <c r="B100">
        <f t="shared" si="3"/>
        <v>4.784688995215311E-2</v>
      </c>
      <c r="C100">
        <f t="shared" si="3"/>
        <v>4.784688995215311E-2</v>
      </c>
      <c r="D100">
        <v>0.3</v>
      </c>
      <c r="E100" t="s">
        <v>84</v>
      </c>
      <c r="F100" s="2" t="s">
        <v>26</v>
      </c>
      <c r="G100" t="s">
        <v>22</v>
      </c>
      <c r="H100" t="s">
        <v>17</v>
      </c>
      <c r="I100" t="s">
        <v>25</v>
      </c>
      <c r="J100" t="s">
        <v>24</v>
      </c>
    </row>
    <row r="101" spans="1:11">
      <c r="A101" t="s">
        <v>68</v>
      </c>
      <c r="B101">
        <f t="shared" si="3"/>
        <v>4.784688995215311E-2</v>
      </c>
      <c r="C101">
        <f t="shared" si="3"/>
        <v>4.784688995215311E-2</v>
      </c>
      <c r="D101">
        <v>0.2</v>
      </c>
      <c r="E101" t="s">
        <v>84</v>
      </c>
      <c r="F101" s="2" t="s">
        <v>25</v>
      </c>
      <c r="G101" t="s">
        <v>22</v>
      </c>
      <c r="H101" t="s">
        <v>19</v>
      </c>
      <c r="I101" t="s">
        <v>17</v>
      </c>
      <c r="J101" t="s">
        <v>20</v>
      </c>
    </row>
    <row r="102" spans="1:11">
      <c r="A102" t="s">
        <v>68</v>
      </c>
      <c r="B102">
        <f t="shared" si="3"/>
        <v>4.784688995215311E-2</v>
      </c>
      <c r="C102">
        <f t="shared" si="3"/>
        <v>4.784688995215311E-2</v>
      </c>
      <c r="D102">
        <v>9.9999999999999895E-2</v>
      </c>
      <c r="E102" t="s">
        <v>84</v>
      </c>
      <c r="F102" s="2" t="s">
        <v>18</v>
      </c>
      <c r="G102" t="s">
        <v>24</v>
      </c>
      <c r="H102" t="s">
        <v>22</v>
      </c>
      <c r="I102" t="s">
        <v>17</v>
      </c>
      <c r="J102" t="s">
        <v>19</v>
      </c>
    </row>
    <row r="103" spans="1:11">
      <c r="A103" t="s">
        <v>68</v>
      </c>
      <c r="B103">
        <f t="shared" si="3"/>
        <v>4.784688995215311E-2</v>
      </c>
      <c r="C103">
        <f t="shared" si="3"/>
        <v>4.784688995215311E-2</v>
      </c>
      <c r="D103">
        <v>0</v>
      </c>
      <c r="E103" t="s">
        <v>84</v>
      </c>
      <c r="F103" s="2" t="s">
        <v>17</v>
      </c>
      <c r="G103" t="s">
        <v>23</v>
      </c>
      <c r="H103" t="s">
        <v>24</v>
      </c>
      <c r="I103" t="s">
        <v>20</v>
      </c>
      <c r="J103" t="s">
        <v>18</v>
      </c>
    </row>
    <row r="104" spans="1:11">
      <c r="A104" t="s">
        <v>68</v>
      </c>
      <c r="B104">
        <f t="shared" si="3"/>
        <v>4.784688995215311E-2</v>
      </c>
      <c r="C104">
        <f t="shared" si="3"/>
        <v>4.784688995215311E-2</v>
      </c>
      <c r="D104">
        <v>-0.1</v>
      </c>
      <c r="E104" t="s">
        <v>84</v>
      </c>
      <c r="F104" s="2" t="s">
        <v>25</v>
      </c>
      <c r="G104" t="s">
        <v>26</v>
      </c>
      <c r="H104" t="s">
        <v>21</v>
      </c>
      <c r="I104" t="s">
        <v>19</v>
      </c>
      <c r="J104" t="s">
        <v>18</v>
      </c>
    </row>
    <row r="105" spans="1:11">
      <c r="A105" t="s">
        <v>68</v>
      </c>
      <c r="B105">
        <f t="shared" si="3"/>
        <v>4.784688995215311E-2</v>
      </c>
      <c r="C105">
        <f t="shared" si="3"/>
        <v>4.784688995215311E-2</v>
      </c>
      <c r="D105">
        <v>-0.2</v>
      </c>
      <c r="E105" t="s">
        <v>84</v>
      </c>
      <c r="F105" s="2" t="s">
        <v>17</v>
      </c>
      <c r="G105" t="s">
        <v>20</v>
      </c>
      <c r="H105" t="s">
        <v>26</v>
      </c>
      <c r="I105" t="s">
        <v>19</v>
      </c>
      <c r="J105" t="s">
        <v>23</v>
      </c>
    </row>
    <row r="106" spans="1:11">
      <c r="A106" t="s">
        <v>68</v>
      </c>
      <c r="B106">
        <f>1/20.9</f>
        <v>4.784688995215311E-2</v>
      </c>
      <c r="C106">
        <f>1/20.9</f>
        <v>4.784688995215311E-2</v>
      </c>
      <c r="D106">
        <v>-0.3</v>
      </c>
      <c r="E106" t="s">
        <v>84</v>
      </c>
      <c r="F106" s="2" t="s">
        <v>26</v>
      </c>
      <c r="G106" t="s">
        <v>23</v>
      </c>
      <c r="H106" t="s">
        <v>17</v>
      </c>
      <c r="I106" t="s">
        <v>25</v>
      </c>
      <c r="J106" t="s">
        <v>21</v>
      </c>
    </row>
    <row r="107" spans="1:11">
      <c r="A107" t="s">
        <v>69</v>
      </c>
      <c r="B107">
        <f>1/36.78</f>
        <v>2.7188689505165849E-2</v>
      </c>
      <c r="C107">
        <f>1/36.78</f>
        <v>2.7188689505165849E-2</v>
      </c>
      <c r="D107">
        <v>1.7</v>
      </c>
      <c r="E107" t="s">
        <v>84</v>
      </c>
      <c r="F107" s="2" t="s">
        <v>19</v>
      </c>
      <c r="G107" t="s">
        <v>24</v>
      </c>
      <c r="H107" t="s">
        <v>25</v>
      </c>
      <c r="I107" t="s">
        <v>21</v>
      </c>
      <c r="J107" t="s">
        <v>18</v>
      </c>
      <c r="K107" s="2"/>
    </row>
    <row r="108" spans="1:11">
      <c r="A108" t="s">
        <v>69</v>
      </c>
      <c r="B108">
        <f t="shared" ref="B108:C127" si="4">1/36.78</f>
        <v>2.7188689505165849E-2</v>
      </c>
      <c r="C108">
        <f t="shared" si="4"/>
        <v>2.7188689505165849E-2</v>
      </c>
      <c r="D108">
        <v>1.6</v>
      </c>
      <c r="E108" t="s">
        <v>84</v>
      </c>
      <c r="F108" s="2" t="s">
        <v>26</v>
      </c>
      <c r="G108" t="s">
        <v>17</v>
      </c>
      <c r="H108" t="s">
        <v>25</v>
      </c>
      <c r="I108" t="s">
        <v>20</v>
      </c>
      <c r="J108" t="s">
        <v>18</v>
      </c>
    </row>
    <row r="109" spans="1:11">
      <c r="A109" t="s">
        <v>69</v>
      </c>
      <c r="B109">
        <f t="shared" si="4"/>
        <v>2.7188689505165849E-2</v>
      </c>
      <c r="C109">
        <f t="shared" si="4"/>
        <v>2.7188689505165849E-2</v>
      </c>
      <c r="D109">
        <v>1.5</v>
      </c>
      <c r="E109" t="s">
        <v>84</v>
      </c>
      <c r="F109" s="2" t="s">
        <v>25</v>
      </c>
      <c r="G109" t="s">
        <v>18</v>
      </c>
      <c r="H109" t="s">
        <v>17</v>
      </c>
      <c r="I109" t="s">
        <v>22</v>
      </c>
      <c r="J109" t="s">
        <v>26</v>
      </c>
    </row>
    <row r="110" spans="1:11">
      <c r="A110" t="s">
        <v>69</v>
      </c>
      <c r="B110">
        <f t="shared" si="4"/>
        <v>2.7188689505165849E-2</v>
      </c>
      <c r="C110">
        <f t="shared" si="4"/>
        <v>2.7188689505165849E-2</v>
      </c>
      <c r="D110">
        <v>1.4</v>
      </c>
      <c r="E110" t="s">
        <v>84</v>
      </c>
      <c r="F110" s="2" t="s">
        <v>25</v>
      </c>
      <c r="G110" t="s">
        <v>17</v>
      </c>
      <c r="H110" t="s">
        <v>21</v>
      </c>
      <c r="I110" t="s">
        <v>22</v>
      </c>
      <c r="J110" t="s">
        <v>19</v>
      </c>
    </row>
    <row r="111" spans="1:11">
      <c r="A111" t="s">
        <v>69</v>
      </c>
      <c r="B111">
        <f t="shared" si="4"/>
        <v>2.7188689505165849E-2</v>
      </c>
      <c r="C111">
        <f t="shared" si="4"/>
        <v>2.7188689505165849E-2</v>
      </c>
      <c r="D111">
        <v>1.3</v>
      </c>
      <c r="E111" t="s">
        <v>84</v>
      </c>
      <c r="F111" s="2" t="s">
        <v>21</v>
      </c>
      <c r="G111" t="s">
        <v>18</v>
      </c>
      <c r="H111" t="s">
        <v>23</v>
      </c>
      <c r="I111" t="s">
        <v>26</v>
      </c>
      <c r="J111" t="s">
        <v>20</v>
      </c>
    </row>
    <row r="112" spans="1:11">
      <c r="A112" t="s">
        <v>69</v>
      </c>
      <c r="B112">
        <f t="shared" si="4"/>
        <v>2.7188689505165849E-2</v>
      </c>
      <c r="C112">
        <f t="shared" si="4"/>
        <v>2.7188689505165849E-2</v>
      </c>
      <c r="D112">
        <v>1.2</v>
      </c>
      <c r="E112" t="s">
        <v>84</v>
      </c>
      <c r="F112" s="2" t="s">
        <v>22</v>
      </c>
      <c r="G112" t="s">
        <v>18</v>
      </c>
      <c r="H112" t="s">
        <v>24</v>
      </c>
      <c r="I112" t="s">
        <v>20</v>
      </c>
      <c r="J112" t="s">
        <v>17</v>
      </c>
    </row>
    <row r="113" spans="1:15">
      <c r="A113" t="s">
        <v>69</v>
      </c>
      <c r="B113">
        <f t="shared" si="4"/>
        <v>2.7188689505165849E-2</v>
      </c>
      <c r="C113">
        <f t="shared" si="4"/>
        <v>2.7188689505165849E-2</v>
      </c>
      <c r="D113">
        <v>1.1000000000000001</v>
      </c>
      <c r="E113" t="s">
        <v>84</v>
      </c>
      <c r="F113" s="2" t="s">
        <v>17</v>
      </c>
      <c r="G113" t="s">
        <v>18</v>
      </c>
      <c r="H113" t="s">
        <v>23</v>
      </c>
      <c r="I113" t="s">
        <v>22</v>
      </c>
      <c r="J113" t="s">
        <v>26</v>
      </c>
    </row>
    <row r="114" spans="1:15">
      <c r="A114" t="s">
        <v>69</v>
      </c>
      <c r="B114">
        <f t="shared" si="4"/>
        <v>2.7188689505165849E-2</v>
      </c>
      <c r="C114">
        <f t="shared" si="4"/>
        <v>2.7188689505165849E-2</v>
      </c>
      <c r="D114">
        <v>1</v>
      </c>
      <c r="E114" t="s">
        <v>84</v>
      </c>
      <c r="F114" s="2" t="s">
        <v>22</v>
      </c>
      <c r="G114" t="s">
        <v>17</v>
      </c>
      <c r="H114" t="s">
        <v>18</v>
      </c>
      <c r="I114" t="s">
        <v>26</v>
      </c>
      <c r="J114" t="s">
        <v>20</v>
      </c>
    </row>
    <row r="115" spans="1:15">
      <c r="A115" t="s">
        <v>69</v>
      </c>
      <c r="B115">
        <f t="shared" si="4"/>
        <v>2.7188689505165849E-2</v>
      </c>
      <c r="C115">
        <f t="shared" si="4"/>
        <v>2.7188689505165849E-2</v>
      </c>
      <c r="D115">
        <v>0.90000000000000102</v>
      </c>
      <c r="E115" t="s">
        <v>84</v>
      </c>
      <c r="F115" s="2" t="s">
        <v>25</v>
      </c>
      <c r="G115" t="s">
        <v>17</v>
      </c>
      <c r="H115" t="s">
        <v>23</v>
      </c>
      <c r="I115" t="s">
        <v>21</v>
      </c>
      <c r="J115" t="s">
        <v>24</v>
      </c>
    </row>
    <row r="116" spans="1:15">
      <c r="A116" t="s">
        <v>69</v>
      </c>
      <c r="B116">
        <f t="shared" si="4"/>
        <v>2.7188689505165849E-2</v>
      </c>
      <c r="C116">
        <f t="shared" si="4"/>
        <v>2.7188689505165849E-2</v>
      </c>
      <c r="D116">
        <v>0.80000000000000104</v>
      </c>
      <c r="E116" t="s">
        <v>84</v>
      </c>
      <c r="F116" s="2" t="s">
        <v>21</v>
      </c>
      <c r="G116" t="s">
        <v>26</v>
      </c>
      <c r="H116" t="s">
        <v>17</v>
      </c>
      <c r="I116" t="s">
        <v>18</v>
      </c>
      <c r="J116" t="s">
        <v>20</v>
      </c>
    </row>
    <row r="117" spans="1:15">
      <c r="A117" t="s">
        <v>69</v>
      </c>
      <c r="B117">
        <f t="shared" si="4"/>
        <v>2.7188689505165849E-2</v>
      </c>
      <c r="C117">
        <f t="shared" si="4"/>
        <v>2.7188689505165849E-2</v>
      </c>
      <c r="D117">
        <v>0.70000000000000095</v>
      </c>
      <c r="E117" t="s">
        <v>84</v>
      </c>
      <c r="F117" s="2" t="s">
        <v>18</v>
      </c>
      <c r="G117" t="s">
        <v>21</v>
      </c>
      <c r="H117" t="s">
        <v>23</v>
      </c>
      <c r="I117" t="s">
        <v>26</v>
      </c>
      <c r="J117" t="s">
        <v>20</v>
      </c>
    </row>
    <row r="118" spans="1:15">
      <c r="A118" t="s">
        <v>69</v>
      </c>
      <c r="B118">
        <f t="shared" si="4"/>
        <v>2.7188689505165849E-2</v>
      </c>
      <c r="C118">
        <f t="shared" si="4"/>
        <v>2.7188689505165849E-2</v>
      </c>
      <c r="D118">
        <v>0.6</v>
      </c>
      <c r="E118" t="s">
        <v>84</v>
      </c>
      <c r="F118" s="2" t="s">
        <v>17</v>
      </c>
      <c r="G118" t="s">
        <v>22</v>
      </c>
      <c r="H118" t="s">
        <v>26</v>
      </c>
      <c r="I118" t="s">
        <v>19</v>
      </c>
      <c r="J118" t="s">
        <v>23</v>
      </c>
    </row>
    <row r="119" spans="1:15">
      <c r="A119" t="s">
        <v>69</v>
      </c>
      <c r="B119">
        <f t="shared" si="4"/>
        <v>2.7188689505165849E-2</v>
      </c>
      <c r="C119">
        <f t="shared" si="4"/>
        <v>2.7188689505165849E-2</v>
      </c>
      <c r="D119">
        <v>0.5</v>
      </c>
      <c r="E119" t="s">
        <v>84</v>
      </c>
      <c r="F119" s="2" t="s">
        <v>22</v>
      </c>
      <c r="G119" t="s">
        <v>24</v>
      </c>
      <c r="H119" t="s">
        <v>25</v>
      </c>
      <c r="I119" t="s">
        <v>20</v>
      </c>
      <c r="J119" t="s">
        <v>26</v>
      </c>
    </row>
    <row r="120" spans="1:15">
      <c r="A120" t="s">
        <v>69</v>
      </c>
      <c r="B120">
        <f t="shared" si="4"/>
        <v>2.7188689505165849E-2</v>
      </c>
      <c r="C120">
        <f t="shared" si="4"/>
        <v>2.7188689505165849E-2</v>
      </c>
      <c r="D120">
        <v>0.4</v>
      </c>
      <c r="E120" t="s">
        <v>84</v>
      </c>
      <c r="F120" s="2" t="s">
        <v>20</v>
      </c>
      <c r="G120" t="s">
        <v>26</v>
      </c>
      <c r="H120" t="s">
        <v>17</v>
      </c>
      <c r="I120" t="s">
        <v>18</v>
      </c>
      <c r="J120" t="s">
        <v>21</v>
      </c>
    </row>
    <row r="121" spans="1:15">
      <c r="A121" t="s">
        <v>69</v>
      </c>
      <c r="B121">
        <f t="shared" si="4"/>
        <v>2.7188689505165849E-2</v>
      </c>
      <c r="C121">
        <f t="shared" si="4"/>
        <v>2.7188689505165849E-2</v>
      </c>
      <c r="D121">
        <v>0.3</v>
      </c>
      <c r="E121" t="s">
        <v>84</v>
      </c>
      <c r="F121" s="2" t="s">
        <v>21</v>
      </c>
      <c r="G121" t="s">
        <v>19</v>
      </c>
      <c r="H121" t="s">
        <v>25</v>
      </c>
      <c r="I121" t="s">
        <v>23</v>
      </c>
      <c r="J121" t="s">
        <v>26</v>
      </c>
    </row>
    <row r="122" spans="1:15">
      <c r="A122" t="s">
        <v>69</v>
      </c>
      <c r="B122">
        <f t="shared" si="4"/>
        <v>2.7188689505165849E-2</v>
      </c>
      <c r="C122">
        <f t="shared" si="4"/>
        <v>2.7188689505165849E-2</v>
      </c>
      <c r="D122">
        <v>0.2</v>
      </c>
      <c r="E122" t="s">
        <v>84</v>
      </c>
      <c r="F122" s="2" t="s">
        <v>22</v>
      </c>
      <c r="G122" t="s">
        <v>23</v>
      </c>
      <c r="H122" t="s">
        <v>20</v>
      </c>
      <c r="I122" t="s">
        <v>21</v>
      </c>
      <c r="J122" t="s">
        <v>26</v>
      </c>
    </row>
    <row r="123" spans="1:15">
      <c r="A123" t="s">
        <v>69</v>
      </c>
      <c r="B123">
        <f t="shared" si="4"/>
        <v>2.7188689505165849E-2</v>
      </c>
      <c r="C123">
        <f t="shared" si="4"/>
        <v>2.7188689505165849E-2</v>
      </c>
      <c r="D123">
        <v>9.9999999999999895E-2</v>
      </c>
      <c r="E123" t="s">
        <v>84</v>
      </c>
      <c r="F123" s="2" t="s">
        <v>22</v>
      </c>
      <c r="G123" t="s">
        <v>18</v>
      </c>
      <c r="H123" t="s">
        <v>20</v>
      </c>
      <c r="I123" t="s">
        <v>26</v>
      </c>
      <c r="J123" t="s">
        <v>23</v>
      </c>
    </row>
    <row r="124" spans="1:15">
      <c r="A124" t="s">
        <v>69</v>
      </c>
      <c r="B124">
        <f t="shared" si="4"/>
        <v>2.7188689505165849E-2</v>
      </c>
      <c r="C124">
        <f t="shared" si="4"/>
        <v>2.7188689505165849E-2</v>
      </c>
      <c r="D124">
        <v>0</v>
      </c>
      <c r="E124" t="s">
        <v>84</v>
      </c>
      <c r="F124" s="2" t="s">
        <v>23</v>
      </c>
      <c r="G124" t="s">
        <v>20</v>
      </c>
      <c r="H124" t="s">
        <v>17</v>
      </c>
      <c r="I124" t="s">
        <v>19</v>
      </c>
      <c r="J124" t="s">
        <v>22</v>
      </c>
    </row>
    <row r="125" spans="1:15">
      <c r="A125" t="s">
        <v>69</v>
      </c>
      <c r="B125">
        <f t="shared" si="4"/>
        <v>2.7188689505165849E-2</v>
      </c>
      <c r="C125">
        <f t="shared" si="4"/>
        <v>2.7188689505165849E-2</v>
      </c>
      <c r="D125">
        <v>-0.1</v>
      </c>
      <c r="E125" t="s">
        <v>84</v>
      </c>
      <c r="F125" s="2" t="s">
        <v>21</v>
      </c>
      <c r="G125" t="s">
        <v>17</v>
      </c>
      <c r="H125" t="s">
        <v>25</v>
      </c>
      <c r="I125" t="s">
        <v>18</v>
      </c>
      <c r="J125" t="s">
        <v>26</v>
      </c>
    </row>
    <row r="126" spans="1:15">
      <c r="A126" t="s">
        <v>69</v>
      </c>
      <c r="B126">
        <f t="shared" si="4"/>
        <v>2.7188689505165849E-2</v>
      </c>
      <c r="C126">
        <f t="shared" si="4"/>
        <v>2.7188689505165849E-2</v>
      </c>
      <c r="D126">
        <v>-0.2</v>
      </c>
      <c r="E126" t="s">
        <v>84</v>
      </c>
      <c r="F126" s="2" t="s">
        <v>24</v>
      </c>
      <c r="G126" t="s">
        <v>20</v>
      </c>
      <c r="H126" t="s">
        <v>17</v>
      </c>
      <c r="I126" t="s">
        <v>26</v>
      </c>
      <c r="J126" t="s">
        <v>23</v>
      </c>
    </row>
    <row r="127" spans="1:15">
      <c r="A127" t="s">
        <v>69</v>
      </c>
      <c r="B127">
        <f t="shared" si="4"/>
        <v>2.7188689505165849E-2</v>
      </c>
      <c r="C127">
        <f t="shared" si="4"/>
        <v>2.7188689505165849E-2</v>
      </c>
      <c r="D127">
        <v>-0.3</v>
      </c>
      <c r="E127" t="s">
        <v>84</v>
      </c>
      <c r="F127" s="2" t="s">
        <v>18</v>
      </c>
      <c r="G127" t="s">
        <v>19</v>
      </c>
      <c r="H127" t="s">
        <v>25</v>
      </c>
      <c r="I127" t="s">
        <v>17</v>
      </c>
      <c r="J127" t="s">
        <v>21</v>
      </c>
    </row>
    <row r="128" spans="1:15">
      <c r="A128" t="s">
        <v>70</v>
      </c>
      <c r="B128">
        <f>1/4</f>
        <v>0.25</v>
      </c>
      <c r="C128">
        <v>1</v>
      </c>
      <c r="D128">
        <v>1.7</v>
      </c>
      <c r="E128" t="s">
        <v>84</v>
      </c>
      <c r="F128" t="s">
        <v>22</v>
      </c>
      <c r="G128" t="s">
        <v>19</v>
      </c>
      <c r="H128" t="s">
        <v>25</v>
      </c>
      <c r="I128" t="s">
        <v>26</v>
      </c>
      <c r="J128" t="s">
        <v>23</v>
      </c>
      <c r="K128" t="s">
        <v>22</v>
      </c>
      <c r="L128" t="s">
        <v>19</v>
      </c>
      <c r="M128" t="s">
        <v>25</v>
      </c>
      <c r="N128" t="s">
        <v>26</v>
      </c>
      <c r="O128" t="s">
        <v>23</v>
      </c>
    </row>
    <row r="129" spans="1:15">
      <c r="A129" t="s">
        <v>70</v>
      </c>
      <c r="B129">
        <f t="shared" ref="B129:B148" si="5">1/4</f>
        <v>0.25</v>
      </c>
      <c r="C129">
        <v>1</v>
      </c>
      <c r="D129">
        <v>1.6</v>
      </c>
      <c r="E129" t="s">
        <v>84</v>
      </c>
      <c r="F129" t="s">
        <v>21</v>
      </c>
      <c r="G129" t="s">
        <v>24</v>
      </c>
      <c r="H129" t="s">
        <v>17</v>
      </c>
      <c r="I129" t="s">
        <v>22</v>
      </c>
      <c r="J129" t="s">
        <v>18</v>
      </c>
      <c r="K129" t="s">
        <v>21</v>
      </c>
      <c r="L129" t="s">
        <v>24</v>
      </c>
      <c r="M129" t="s">
        <v>17</v>
      </c>
      <c r="N129" t="s">
        <v>22</v>
      </c>
      <c r="O129" t="s">
        <v>18</v>
      </c>
    </row>
    <row r="130" spans="1:15">
      <c r="A130" t="s">
        <v>70</v>
      </c>
      <c r="B130">
        <f t="shared" si="5"/>
        <v>0.25</v>
      </c>
      <c r="C130">
        <v>1</v>
      </c>
      <c r="D130">
        <v>1.5</v>
      </c>
      <c r="E130" t="s">
        <v>84</v>
      </c>
      <c r="F130" t="s">
        <v>26</v>
      </c>
      <c r="G130" t="s">
        <v>20</v>
      </c>
      <c r="H130" t="s">
        <v>23</v>
      </c>
      <c r="I130" t="s">
        <v>21</v>
      </c>
      <c r="J130" t="s">
        <v>22</v>
      </c>
      <c r="K130" t="s">
        <v>26</v>
      </c>
      <c r="L130" t="s">
        <v>20</v>
      </c>
      <c r="M130" t="s">
        <v>23</v>
      </c>
      <c r="N130" t="s">
        <v>21</v>
      </c>
      <c r="O130" t="s">
        <v>22</v>
      </c>
    </row>
    <row r="131" spans="1:15">
      <c r="A131" t="s">
        <v>70</v>
      </c>
      <c r="B131">
        <f t="shared" si="5"/>
        <v>0.25</v>
      </c>
      <c r="C131">
        <v>1</v>
      </c>
      <c r="D131">
        <v>1.4</v>
      </c>
      <c r="E131" t="s">
        <v>84</v>
      </c>
      <c r="F131" t="s">
        <v>18</v>
      </c>
      <c r="G131" t="s">
        <v>21</v>
      </c>
      <c r="H131" t="s">
        <v>23</v>
      </c>
      <c r="I131" t="s">
        <v>20</v>
      </c>
      <c r="J131" t="s">
        <v>26</v>
      </c>
      <c r="K131" t="s">
        <v>18</v>
      </c>
      <c r="L131" t="s">
        <v>21</v>
      </c>
      <c r="M131" t="s">
        <v>23</v>
      </c>
      <c r="N131" t="s">
        <v>20</v>
      </c>
      <c r="O131" t="s">
        <v>26</v>
      </c>
    </row>
    <row r="132" spans="1:15">
      <c r="A132" t="s">
        <v>70</v>
      </c>
      <c r="B132">
        <f t="shared" si="5"/>
        <v>0.25</v>
      </c>
      <c r="C132">
        <v>1</v>
      </c>
      <c r="D132">
        <v>1.3</v>
      </c>
      <c r="E132" t="s">
        <v>84</v>
      </c>
      <c r="F132" t="s">
        <v>23</v>
      </c>
      <c r="G132" t="s">
        <v>25</v>
      </c>
      <c r="H132" t="s">
        <v>17</v>
      </c>
      <c r="I132" t="s">
        <v>22</v>
      </c>
      <c r="J132" t="s">
        <v>21</v>
      </c>
      <c r="K132" t="s">
        <v>23</v>
      </c>
      <c r="L132" t="s">
        <v>25</v>
      </c>
      <c r="M132" t="s">
        <v>17</v>
      </c>
      <c r="N132" t="s">
        <v>22</v>
      </c>
      <c r="O132" t="s">
        <v>21</v>
      </c>
    </row>
    <row r="133" spans="1:15">
      <c r="A133" t="s">
        <v>70</v>
      </c>
      <c r="B133">
        <f t="shared" si="5"/>
        <v>0.25</v>
      </c>
      <c r="C133">
        <v>1</v>
      </c>
      <c r="D133">
        <v>1.2</v>
      </c>
      <c r="E133" t="s">
        <v>84</v>
      </c>
      <c r="F133" t="s">
        <v>18</v>
      </c>
      <c r="G133" t="s">
        <v>25</v>
      </c>
      <c r="H133" t="s">
        <v>26</v>
      </c>
      <c r="I133" t="s">
        <v>17</v>
      </c>
      <c r="J133" t="s">
        <v>24</v>
      </c>
      <c r="K133" t="s">
        <v>18</v>
      </c>
      <c r="L133" t="s">
        <v>25</v>
      </c>
      <c r="M133" t="s">
        <v>26</v>
      </c>
      <c r="N133" t="s">
        <v>17</v>
      </c>
      <c r="O133" t="s">
        <v>24</v>
      </c>
    </row>
    <row r="134" spans="1:15">
      <c r="A134" t="s">
        <v>70</v>
      </c>
      <c r="B134">
        <f t="shared" si="5"/>
        <v>0.25</v>
      </c>
      <c r="C134">
        <v>1</v>
      </c>
      <c r="D134">
        <v>1.1000000000000001</v>
      </c>
      <c r="E134" t="s">
        <v>84</v>
      </c>
      <c r="F134" t="s">
        <v>23</v>
      </c>
      <c r="G134" t="s">
        <v>20</v>
      </c>
      <c r="H134" t="s">
        <v>22</v>
      </c>
      <c r="I134" t="s">
        <v>19</v>
      </c>
      <c r="J134" t="s">
        <v>26</v>
      </c>
      <c r="K134" t="s">
        <v>23</v>
      </c>
      <c r="L134" t="s">
        <v>20</v>
      </c>
      <c r="M134" t="s">
        <v>22</v>
      </c>
      <c r="N134" t="s">
        <v>19</v>
      </c>
      <c r="O134" t="s">
        <v>26</v>
      </c>
    </row>
    <row r="135" spans="1:15">
      <c r="A135" t="s">
        <v>70</v>
      </c>
      <c r="B135">
        <f t="shared" si="5"/>
        <v>0.25</v>
      </c>
      <c r="C135">
        <v>1</v>
      </c>
      <c r="D135">
        <v>1</v>
      </c>
      <c r="E135" t="s">
        <v>84</v>
      </c>
      <c r="F135" t="s">
        <v>24</v>
      </c>
      <c r="G135" t="s">
        <v>23</v>
      </c>
      <c r="H135" t="s">
        <v>19</v>
      </c>
      <c r="I135" t="s">
        <v>20</v>
      </c>
      <c r="J135" t="s">
        <v>18</v>
      </c>
      <c r="K135" t="s">
        <v>24</v>
      </c>
      <c r="L135" t="s">
        <v>23</v>
      </c>
      <c r="M135" t="s">
        <v>19</v>
      </c>
      <c r="N135" t="s">
        <v>20</v>
      </c>
      <c r="O135" t="s">
        <v>18</v>
      </c>
    </row>
    <row r="136" spans="1:15">
      <c r="A136" t="s">
        <v>70</v>
      </c>
      <c r="B136">
        <f t="shared" si="5"/>
        <v>0.25</v>
      </c>
      <c r="C136">
        <v>1</v>
      </c>
      <c r="D136">
        <v>0.90000000000000102</v>
      </c>
      <c r="E136" t="s">
        <v>84</v>
      </c>
      <c r="F136" t="s">
        <v>25</v>
      </c>
      <c r="G136" t="s">
        <v>26</v>
      </c>
      <c r="H136" t="s">
        <v>20</v>
      </c>
      <c r="I136" t="s">
        <v>24</v>
      </c>
      <c r="J136" t="s">
        <v>17</v>
      </c>
      <c r="K136" t="s">
        <v>25</v>
      </c>
      <c r="L136" t="s">
        <v>26</v>
      </c>
      <c r="M136" t="s">
        <v>20</v>
      </c>
      <c r="N136" t="s">
        <v>24</v>
      </c>
      <c r="O136" t="s">
        <v>17</v>
      </c>
    </row>
    <row r="137" spans="1:15">
      <c r="A137" t="s">
        <v>70</v>
      </c>
      <c r="B137">
        <f t="shared" si="5"/>
        <v>0.25</v>
      </c>
      <c r="C137">
        <v>1</v>
      </c>
      <c r="D137">
        <v>0.80000000000000104</v>
      </c>
      <c r="E137" t="s">
        <v>84</v>
      </c>
      <c r="F137" t="s">
        <v>24</v>
      </c>
      <c r="G137" t="s">
        <v>25</v>
      </c>
      <c r="H137" t="s">
        <v>19</v>
      </c>
      <c r="I137" t="s">
        <v>22</v>
      </c>
      <c r="J137" t="s">
        <v>17</v>
      </c>
      <c r="K137" t="s">
        <v>24</v>
      </c>
      <c r="L137" t="s">
        <v>25</v>
      </c>
      <c r="M137" t="s">
        <v>19</v>
      </c>
      <c r="N137" t="s">
        <v>22</v>
      </c>
      <c r="O137" t="s">
        <v>17</v>
      </c>
    </row>
    <row r="138" spans="1:15">
      <c r="A138" t="s">
        <v>70</v>
      </c>
      <c r="B138">
        <f t="shared" si="5"/>
        <v>0.25</v>
      </c>
      <c r="C138">
        <v>1</v>
      </c>
      <c r="D138">
        <v>0.70000000000000095</v>
      </c>
      <c r="E138" t="s">
        <v>84</v>
      </c>
      <c r="F138" t="s">
        <v>18</v>
      </c>
      <c r="G138" t="s">
        <v>25</v>
      </c>
      <c r="H138" t="s">
        <v>17</v>
      </c>
      <c r="I138" t="s">
        <v>19</v>
      </c>
      <c r="J138" t="s">
        <v>21</v>
      </c>
      <c r="K138" t="s">
        <v>18</v>
      </c>
      <c r="L138" t="s">
        <v>25</v>
      </c>
      <c r="M138" t="s">
        <v>17</v>
      </c>
      <c r="N138" t="s">
        <v>19</v>
      </c>
      <c r="O138" t="s">
        <v>21</v>
      </c>
    </row>
    <row r="139" spans="1:15">
      <c r="A139" t="s">
        <v>70</v>
      </c>
      <c r="B139">
        <f t="shared" si="5"/>
        <v>0.25</v>
      </c>
      <c r="C139">
        <v>1</v>
      </c>
      <c r="D139">
        <v>0.6</v>
      </c>
      <c r="E139" t="s">
        <v>84</v>
      </c>
      <c r="F139" t="s">
        <v>24</v>
      </c>
      <c r="G139" t="s">
        <v>21</v>
      </c>
      <c r="H139" t="s">
        <v>23</v>
      </c>
      <c r="I139" t="s">
        <v>26</v>
      </c>
      <c r="J139" t="s">
        <v>25</v>
      </c>
      <c r="K139" t="s">
        <v>24</v>
      </c>
      <c r="L139" t="s">
        <v>21</v>
      </c>
      <c r="M139" t="s">
        <v>23</v>
      </c>
      <c r="N139" t="s">
        <v>26</v>
      </c>
      <c r="O139" t="s">
        <v>25</v>
      </c>
    </row>
    <row r="140" spans="1:15">
      <c r="A140" t="s">
        <v>70</v>
      </c>
      <c r="B140">
        <f t="shared" si="5"/>
        <v>0.25</v>
      </c>
      <c r="C140">
        <v>1</v>
      </c>
      <c r="D140">
        <v>0.5</v>
      </c>
      <c r="E140" t="s">
        <v>84</v>
      </c>
      <c r="F140" t="s">
        <v>25</v>
      </c>
      <c r="G140" t="s">
        <v>26</v>
      </c>
      <c r="H140" t="s">
        <v>21</v>
      </c>
      <c r="I140" t="s">
        <v>23</v>
      </c>
      <c r="J140" t="s">
        <v>19</v>
      </c>
      <c r="K140" t="s">
        <v>25</v>
      </c>
      <c r="L140" t="s">
        <v>26</v>
      </c>
      <c r="M140" t="s">
        <v>21</v>
      </c>
      <c r="N140" t="s">
        <v>23</v>
      </c>
      <c r="O140" t="s">
        <v>19</v>
      </c>
    </row>
    <row r="141" spans="1:15">
      <c r="A141" t="s">
        <v>70</v>
      </c>
      <c r="B141">
        <f t="shared" si="5"/>
        <v>0.25</v>
      </c>
      <c r="C141">
        <v>1</v>
      </c>
      <c r="D141">
        <v>0.4</v>
      </c>
      <c r="E141" t="s">
        <v>84</v>
      </c>
      <c r="F141" t="s">
        <v>26</v>
      </c>
      <c r="G141" t="s">
        <v>18</v>
      </c>
      <c r="H141" t="s">
        <v>17</v>
      </c>
      <c r="I141" t="s">
        <v>24</v>
      </c>
      <c r="J141" t="s">
        <v>19</v>
      </c>
      <c r="K141" t="s">
        <v>26</v>
      </c>
      <c r="L141" t="s">
        <v>18</v>
      </c>
      <c r="M141" t="s">
        <v>17</v>
      </c>
      <c r="N141" t="s">
        <v>24</v>
      </c>
      <c r="O141" t="s">
        <v>19</v>
      </c>
    </row>
    <row r="142" spans="1:15">
      <c r="A142" t="s">
        <v>70</v>
      </c>
      <c r="B142">
        <f t="shared" si="5"/>
        <v>0.25</v>
      </c>
      <c r="C142">
        <v>1</v>
      </c>
      <c r="D142">
        <v>0.3</v>
      </c>
      <c r="E142" t="s">
        <v>84</v>
      </c>
      <c r="F142" t="s">
        <v>17</v>
      </c>
      <c r="G142" t="s">
        <v>21</v>
      </c>
      <c r="H142" t="s">
        <v>23</v>
      </c>
      <c r="I142" t="s">
        <v>20</v>
      </c>
      <c r="J142" t="s">
        <v>18</v>
      </c>
      <c r="K142" t="s">
        <v>17</v>
      </c>
      <c r="M142" t="s">
        <v>23</v>
      </c>
      <c r="N142" t="s">
        <v>20</v>
      </c>
      <c r="O142" t="s">
        <v>18</v>
      </c>
    </row>
    <row r="143" spans="1:15">
      <c r="A143" t="s">
        <v>70</v>
      </c>
      <c r="B143">
        <f t="shared" si="5"/>
        <v>0.25</v>
      </c>
      <c r="C143">
        <v>1</v>
      </c>
      <c r="D143">
        <v>0.2</v>
      </c>
      <c r="E143" t="s">
        <v>84</v>
      </c>
      <c r="F143" t="s">
        <v>18</v>
      </c>
      <c r="G143" t="s">
        <v>19</v>
      </c>
      <c r="H143" t="s">
        <v>22</v>
      </c>
      <c r="I143" t="s">
        <v>26</v>
      </c>
      <c r="J143" t="s">
        <v>20</v>
      </c>
      <c r="K143" t="s">
        <v>18</v>
      </c>
      <c r="M143" t="s">
        <v>22</v>
      </c>
      <c r="N143" t="s">
        <v>26</v>
      </c>
      <c r="O143" t="s">
        <v>20</v>
      </c>
    </row>
    <row r="144" spans="1:15">
      <c r="A144" t="s">
        <v>70</v>
      </c>
      <c r="B144">
        <f t="shared" si="5"/>
        <v>0.25</v>
      </c>
      <c r="C144">
        <v>1</v>
      </c>
      <c r="D144">
        <v>9.9999999999999895E-2</v>
      </c>
      <c r="E144" t="s">
        <v>84</v>
      </c>
      <c r="F144" t="s">
        <v>17</v>
      </c>
      <c r="G144" t="s">
        <v>26</v>
      </c>
      <c r="H144" t="s">
        <v>20</v>
      </c>
      <c r="I144" t="s">
        <v>25</v>
      </c>
      <c r="J144" t="s">
        <v>19</v>
      </c>
    </row>
    <row r="145" spans="1:15">
      <c r="A145" t="s">
        <v>70</v>
      </c>
      <c r="B145">
        <f t="shared" si="5"/>
        <v>0.25</v>
      </c>
      <c r="C145">
        <v>1</v>
      </c>
      <c r="D145">
        <v>0</v>
      </c>
      <c r="E145" t="s">
        <v>84</v>
      </c>
      <c r="F145" t="s">
        <v>18</v>
      </c>
      <c r="G145" t="s">
        <v>22</v>
      </c>
      <c r="H145" t="s">
        <v>19</v>
      </c>
      <c r="I145" t="s">
        <v>26</v>
      </c>
      <c r="J145" t="s">
        <v>17</v>
      </c>
    </row>
    <row r="146" spans="1:15">
      <c r="A146" t="s">
        <v>70</v>
      </c>
      <c r="B146">
        <f t="shared" si="5"/>
        <v>0.25</v>
      </c>
      <c r="C146">
        <v>1</v>
      </c>
      <c r="D146">
        <v>-0.1</v>
      </c>
      <c r="E146" t="s">
        <v>84</v>
      </c>
      <c r="F146" t="s">
        <v>21</v>
      </c>
      <c r="G146" t="s">
        <v>26</v>
      </c>
      <c r="H146" t="s">
        <v>19</v>
      </c>
      <c r="I146" t="s">
        <v>24</v>
      </c>
      <c r="J146" t="s">
        <v>25</v>
      </c>
    </row>
    <row r="147" spans="1:15">
      <c r="A147" t="s">
        <v>70</v>
      </c>
      <c r="B147">
        <f t="shared" si="5"/>
        <v>0.25</v>
      </c>
      <c r="C147">
        <v>1</v>
      </c>
      <c r="D147">
        <v>-0.2</v>
      </c>
      <c r="E147" t="s">
        <v>84</v>
      </c>
      <c r="F147" t="s">
        <v>24</v>
      </c>
      <c r="G147" t="s">
        <v>22</v>
      </c>
      <c r="H147" t="s">
        <v>19</v>
      </c>
      <c r="I147" t="s">
        <v>23</v>
      </c>
      <c r="J147" t="s">
        <v>20</v>
      </c>
    </row>
    <row r="148" spans="1:15">
      <c r="A148" t="s">
        <v>70</v>
      </c>
      <c r="B148">
        <f t="shared" si="5"/>
        <v>0.25</v>
      </c>
      <c r="C148">
        <v>1</v>
      </c>
      <c r="D148">
        <v>-0.3</v>
      </c>
      <c r="E148" t="s">
        <v>84</v>
      </c>
      <c r="F148" t="s">
        <v>20</v>
      </c>
      <c r="G148" t="s">
        <v>26</v>
      </c>
      <c r="H148" t="s">
        <v>17</v>
      </c>
      <c r="I148" t="s">
        <v>23</v>
      </c>
      <c r="J148" t="s">
        <v>24</v>
      </c>
    </row>
    <row r="149" spans="1:15">
      <c r="A149" t="s">
        <v>71</v>
      </c>
      <c r="B149">
        <f>1/7.49</f>
        <v>0.13351134846461948</v>
      </c>
      <c r="C149">
        <f>4/7.49</f>
        <v>0.53404539385847793</v>
      </c>
      <c r="D149">
        <v>1.7</v>
      </c>
      <c r="E149" t="s">
        <v>84</v>
      </c>
      <c r="F149" t="s">
        <v>23</v>
      </c>
      <c r="G149" t="s">
        <v>21</v>
      </c>
      <c r="H149" t="s">
        <v>20</v>
      </c>
      <c r="I149" t="s">
        <v>17</v>
      </c>
      <c r="J149" t="s">
        <v>18</v>
      </c>
      <c r="K149" t="s">
        <v>23</v>
      </c>
      <c r="L149" t="s">
        <v>21</v>
      </c>
      <c r="M149" t="s">
        <v>20</v>
      </c>
      <c r="N149" t="s">
        <v>17</v>
      </c>
      <c r="O149" t="s">
        <v>18</v>
      </c>
    </row>
    <row r="150" spans="1:15">
      <c r="A150" t="s">
        <v>71</v>
      </c>
      <c r="B150">
        <f t="shared" ref="B150:B169" si="6">1/7.49</f>
        <v>0.13351134846461948</v>
      </c>
      <c r="C150">
        <f t="shared" ref="C150:C169" si="7">4/7.49</f>
        <v>0.53404539385847793</v>
      </c>
      <c r="D150">
        <v>1.6</v>
      </c>
      <c r="E150" t="s">
        <v>84</v>
      </c>
      <c r="F150" t="s">
        <v>24</v>
      </c>
      <c r="G150" t="s">
        <v>21</v>
      </c>
      <c r="H150" t="s">
        <v>25</v>
      </c>
      <c r="I150" t="s">
        <v>23</v>
      </c>
      <c r="J150" t="s">
        <v>26</v>
      </c>
      <c r="K150" t="s">
        <v>24</v>
      </c>
      <c r="L150" t="s">
        <v>21</v>
      </c>
      <c r="M150" t="s">
        <v>25</v>
      </c>
      <c r="N150" t="s">
        <v>23</v>
      </c>
      <c r="O150" t="s">
        <v>26</v>
      </c>
    </row>
    <row r="151" spans="1:15">
      <c r="A151" t="s">
        <v>71</v>
      </c>
      <c r="B151">
        <f t="shared" si="6"/>
        <v>0.13351134846461948</v>
      </c>
      <c r="C151">
        <f t="shared" si="7"/>
        <v>0.53404539385847793</v>
      </c>
      <c r="D151">
        <v>1.5</v>
      </c>
      <c r="E151" t="s">
        <v>84</v>
      </c>
      <c r="F151" t="s">
        <v>24</v>
      </c>
      <c r="G151" t="s">
        <v>22</v>
      </c>
      <c r="H151" t="s">
        <v>19</v>
      </c>
      <c r="I151" t="s">
        <v>23</v>
      </c>
      <c r="J151" t="s">
        <v>17</v>
      </c>
      <c r="K151" t="s">
        <v>24</v>
      </c>
      <c r="L151" t="s">
        <v>22</v>
      </c>
      <c r="M151" t="s">
        <v>19</v>
      </c>
      <c r="N151" t="s">
        <v>23</v>
      </c>
      <c r="O151" t="s">
        <v>17</v>
      </c>
    </row>
    <row r="152" spans="1:15">
      <c r="A152" t="s">
        <v>71</v>
      </c>
      <c r="B152">
        <f t="shared" si="6"/>
        <v>0.13351134846461948</v>
      </c>
      <c r="C152">
        <f t="shared" si="7"/>
        <v>0.53404539385847793</v>
      </c>
      <c r="D152">
        <v>1.4</v>
      </c>
      <c r="E152" t="s">
        <v>84</v>
      </c>
      <c r="F152" t="s">
        <v>21</v>
      </c>
      <c r="G152" t="s">
        <v>26</v>
      </c>
      <c r="H152" t="s">
        <v>20</v>
      </c>
      <c r="I152" t="s">
        <v>24</v>
      </c>
      <c r="J152" t="s">
        <v>19</v>
      </c>
      <c r="K152" t="s">
        <v>21</v>
      </c>
      <c r="L152" t="s">
        <v>26</v>
      </c>
      <c r="M152" t="s">
        <v>20</v>
      </c>
      <c r="N152" t="s">
        <v>24</v>
      </c>
      <c r="O152" t="s">
        <v>19</v>
      </c>
    </row>
    <row r="153" spans="1:15">
      <c r="A153" t="s">
        <v>71</v>
      </c>
      <c r="B153">
        <f t="shared" si="6"/>
        <v>0.13351134846461948</v>
      </c>
      <c r="C153">
        <f t="shared" si="7"/>
        <v>0.53404539385847793</v>
      </c>
      <c r="D153">
        <v>1.3</v>
      </c>
      <c r="E153" t="s">
        <v>84</v>
      </c>
      <c r="F153" t="s">
        <v>18</v>
      </c>
      <c r="G153" t="s">
        <v>23</v>
      </c>
      <c r="H153" t="s">
        <v>19</v>
      </c>
      <c r="I153" t="s">
        <v>24</v>
      </c>
      <c r="J153" t="s">
        <v>17</v>
      </c>
      <c r="K153" t="s">
        <v>18</v>
      </c>
      <c r="L153" t="s">
        <v>23</v>
      </c>
      <c r="M153" t="s">
        <v>19</v>
      </c>
      <c r="N153" t="s">
        <v>24</v>
      </c>
      <c r="O153" t="s">
        <v>17</v>
      </c>
    </row>
    <row r="154" spans="1:15">
      <c r="A154" t="s">
        <v>71</v>
      </c>
      <c r="B154">
        <f t="shared" si="6"/>
        <v>0.13351134846461948</v>
      </c>
      <c r="C154">
        <f t="shared" si="7"/>
        <v>0.53404539385847793</v>
      </c>
      <c r="D154">
        <v>1.2</v>
      </c>
      <c r="E154" t="s">
        <v>84</v>
      </c>
      <c r="F154" t="s">
        <v>24</v>
      </c>
      <c r="G154" t="s">
        <v>20</v>
      </c>
      <c r="H154" t="s">
        <v>25</v>
      </c>
      <c r="I154" t="s">
        <v>21</v>
      </c>
      <c r="J154" t="s">
        <v>17</v>
      </c>
      <c r="K154" t="s">
        <v>24</v>
      </c>
      <c r="L154" t="s">
        <v>20</v>
      </c>
      <c r="M154" t="s">
        <v>25</v>
      </c>
      <c r="N154" t="s">
        <v>21</v>
      </c>
      <c r="O154" t="s">
        <v>17</v>
      </c>
    </row>
    <row r="155" spans="1:15">
      <c r="A155" t="s">
        <v>71</v>
      </c>
      <c r="B155">
        <f t="shared" si="6"/>
        <v>0.13351134846461948</v>
      </c>
      <c r="C155">
        <f t="shared" si="7"/>
        <v>0.53404539385847793</v>
      </c>
      <c r="D155">
        <v>1.1000000000000001</v>
      </c>
      <c r="E155" t="s">
        <v>84</v>
      </c>
      <c r="F155" t="s">
        <v>19</v>
      </c>
      <c r="G155" t="s">
        <v>22</v>
      </c>
      <c r="H155" t="s">
        <v>17</v>
      </c>
      <c r="I155" t="s">
        <v>26</v>
      </c>
      <c r="J155" t="s">
        <v>25</v>
      </c>
      <c r="K155" t="s">
        <v>19</v>
      </c>
      <c r="L155" t="s">
        <v>22</v>
      </c>
      <c r="M155" t="s">
        <v>17</v>
      </c>
      <c r="N155" t="s">
        <v>26</v>
      </c>
      <c r="O155" t="s">
        <v>25</v>
      </c>
    </row>
    <row r="156" spans="1:15">
      <c r="A156" t="s">
        <v>71</v>
      </c>
      <c r="B156">
        <f t="shared" si="6"/>
        <v>0.13351134846461948</v>
      </c>
      <c r="C156">
        <f t="shared" si="7"/>
        <v>0.53404539385847793</v>
      </c>
      <c r="D156">
        <v>1</v>
      </c>
      <c r="E156" t="s">
        <v>84</v>
      </c>
      <c r="F156" t="s">
        <v>18</v>
      </c>
      <c r="G156" t="s">
        <v>24</v>
      </c>
      <c r="H156" t="s">
        <v>26</v>
      </c>
      <c r="I156" t="s">
        <v>21</v>
      </c>
      <c r="J156" t="s">
        <v>22</v>
      </c>
      <c r="K156" t="s">
        <v>18</v>
      </c>
      <c r="L156" t="s">
        <v>24</v>
      </c>
      <c r="M156" t="s">
        <v>26</v>
      </c>
      <c r="N156" t="s">
        <v>21</v>
      </c>
      <c r="O156" t="s">
        <v>22</v>
      </c>
    </row>
    <row r="157" spans="1:15">
      <c r="A157" t="s">
        <v>71</v>
      </c>
      <c r="B157">
        <f t="shared" si="6"/>
        <v>0.13351134846461948</v>
      </c>
      <c r="C157">
        <f t="shared" si="7"/>
        <v>0.53404539385847793</v>
      </c>
      <c r="D157">
        <v>0.90000000000000102</v>
      </c>
      <c r="E157" t="s">
        <v>84</v>
      </c>
      <c r="F157" t="s">
        <v>22</v>
      </c>
      <c r="G157" t="s">
        <v>24</v>
      </c>
      <c r="H157" t="s">
        <v>17</v>
      </c>
      <c r="I157" t="s">
        <v>18</v>
      </c>
      <c r="J157" t="s">
        <v>19</v>
      </c>
      <c r="K157" t="s">
        <v>22</v>
      </c>
      <c r="L157" t="s">
        <v>24</v>
      </c>
      <c r="M157" t="s">
        <v>17</v>
      </c>
      <c r="N157" t="s">
        <v>18</v>
      </c>
      <c r="O157" t="s">
        <v>19</v>
      </c>
    </row>
    <row r="158" spans="1:15">
      <c r="A158" t="s">
        <v>71</v>
      </c>
      <c r="B158">
        <f t="shared" si="6"/>
        <v>0.13351134846461948</v>
      </c>
      <c r="C158">
        <f t="shared" si="7"/>
        <v>0.53404539385847793</v>
      </c>
      <c r="D158">
        <v>0.80000000000000104</v>
      </c>
      <c r="E158" t="s">
        <v>84</v>
      </c>
      <c r="F158" t="s">
        <v>24</v>
      </c>
      <c r="G158" t="s">
        <v>23</v>
      </c>
      <c r="H158" t="s">
        <v>20</v>
      </c>
      <c r="I158" t="s">
        <v>25</v>
      </c>
      <c r="J158" t="s">
        <v>17</v>
      </c>
      <c r="K158" t="s">
        <v>24</v>
      </c>
      <c r="L158" t="s">
        <v>23</v>
      </c>
      <c r="M158" t="s">
        <v>20</v>
      </c>
      <c r="N158" t="s">
        <v>25</v>
      </c>
      <c r="O158" t="s">
        <v>17</v>
      </c>
    </row>
    <row r="159" spans="1:15">
      <c r="A159" t="s">
        <v>71</v>
      </c>
      <c r="B159">
        <f t="shared" si="6"/>
        <v>0.13351134846461948</v>
      </c>
      <c r="C159">
        <f t="shared" si="7"/>
        <v>0.53404539385847793</v>
      </c>
      <c r="D159">
        <v>0.70000000000000095</v>
      </c>
      <c r="E159" t="s">
        <v>84</v>
      </c>
      <c r="F159" t="s">
        <v>25</v>
      </c>
      <c r="G159" t="s">
        <v>19</v>
      </c>
      <c r="H159" t="s">
        <v>23</v>
      </c>
      <c r="I159" t="s">
        <v>21</v>
      </c>
      <c r="J159" t="s">
        <v>24</v>
      </c>
      <c r="K159" t="s">
        <v>25</v>
      </c>
      <c r="L159" t="s">
        <v>19</v>
      </c>
      <c r="M159" t="s">
        <v>23</v>
      </c>
      <c r="N159" t="s">
        <v>21</v>
      </c>
      <c r="O159" t="s">
        <v>24</v>
      </c>
    </row>
    <row r="160" spans="1:15">
      <c r="A160" t="s">
        <v>71</v>
      </c>
      <c r="B160">
        <f t="shared" si="6"/>
        <v>0.13351134846461948</v>
      </c>
      <c r="C160">
        <f t="shared" si="7"/>
        <v>0.53404539385847793</v>
      </c>
      <c r="D160">
        <v>0.6</v>
      </c>
      <c r="E160" t="s">
        <v>84</v>
      </c>
      <c r="F160" t="s">
        <v>21</v>
      </c>
      <c r="G160" t="s">
        <v>17</v>
      </c>
      <c r="H160" t="s">
        <v>22</v>
      </c>
      <c r="I160" t="s">
        <v>26</v>
      </c>
      <c r="J160" t="s">
        <v>18</v>
      </c>
      <c r="K160" t="s">
        <v>21</v>
      </c>
      <c r="L160" t="s">
        <v>17</v>
      </c>
      <c r="M160" t="s">
        <v>22</v>
      </c>
      <c r="N160" t="s">
        <v>26</v>
      </c>
      <c r="O160" t="s">
        <v>18</v>
      </c>
    </row>
    <row r="161" spans="1:15">
      <c r="A161" t="s">
        <v>71</v>
      </c>
      <c r="B161">
        <f t="shared" si="6"/>
        <v>0.13351134846461948</v>
      </c>
      <c r="C161">
        <f t="shared" si="7"/>
        <v>0.53404539385847793</v>
      </c>
      <c r="D161">
        <v>0.5</v>
      </c>
      <c r="E161" t="s">
        <v>84</v>
      </c>
      <c r="F161" t="s">
        <v>25</v>
      </c>
      <c r="G161" t="s">
        <v>26</v>
      </c>
      <c r="H161" t="s">
        <v>17</v>
      </c>
      <c r="I161" t="s">
        <v>20</v>
      </c>
      <c r="J161" t="s">
        <v>23</v>
      </c>
      <c r="L161" t="s">
        <v>26</v>
      </c>
    </row>
    <row r="162" spans="1:15">
      <c r="A162" t="s">
        <v>71</v>
      </c>
      <c r="B162">
        <f t="shared" si="6"/>
        <v>0.13351134846461948</v>
      </c>
      <c r="C162">
        <f t="shared" si="7"/>
        <v>0.53404539385847793</v>
      </c>
      <c r="D162">
        <v>0.4</v>
      </c>
      <c r="E162" t="s">
        <v>84</v>
      </c>
      <c r="F162" t="s">
        <v>22</v>
      </c>
      <c r="G162" t="s">
        <v>21</v>
      </c>
      <c r="H162" t="s">
        <v>25</v>
      </c>
      <c r="I162" t="s">
        <v>24</v>
      </c>
      <c r="J162" t="s">
        <v>19</v>
      </c>
    </row>
    <row r="163" spans="1:15">
      <c r="A163" t="s">
        <v>71</v>
      </c>
      <c r="B163">
        <f t="shared" si="6"/>
        <v>0.13351134846461948</v>
      </c>
      <c r="C163">
        <f t="shared" si="7"/>
        <v>0.53404539385847793</v>
      </c>
      <c r="D163">
        <v>0.3</v>
      </c>
      <c r="E163" t="s">
        <v>84</v>
      </c>
      <c r="F163" t="s">
        <v>23</v>
      </c>
      <c r="G163" t="s">
        <v>22</v>
      </c>
      <c r="H163" t="s">
        <v>24</v>
      </c>
      <c r="I163" t="s">
        <v>21</v>
      </c>
      <c r="J163" t="s">
        <v>19</v>
      </c>
    </row>
    <row r="164" spans="1:15">
      <c r="A164" t="s">
        <v>71</v>
      </c>
      <c r="B164">
        <f t="shared" si="6"/>
        <v>0.13351134846461948</v>
      </c>
      <c r="C164">
        <f t="shared" si="7"/>
        <v>0.53404539385847793</v>
      </c>
      <c r="D164">
        <v>0.2</v>
      </c>
      <c r="E164" t="s">
        <v>84</v>
      </c>
      <c r="F164" t="s">
        <v>24</v>
      </c>
      <c r="G164" t="s">
        <v>22</v>
      </c>
      <c r="H164" t="s">
        <v>21</v>
      </c>
      <c r="I164" t="s">
        <v>26</v>
      </c>
      <c r="J164" t="s">
        <v>25</v>
      </c>
    </row>
    <row r="165" spans="1:15">
      <c r="A165" t="s">
        <v>71</v>
      </c>
      <c r="B165">
        <f t="shared" si="6"/>
        <v>0.13351134846461948</v>
      </c>
      <c r="C165">
        <f t="shared" si="7"/>
        <v>0.53404539385847793</v>
      </c>
      <c r="D165">
        <v>9.9999999999999895E-2</v>
      </c>
      <c r="E165" t="s">
        <v>84</v>
      </c>
      <c r="F165" t="s">
        <v>26</v>
      </c>
      <c r="G165" t="s">
        <v>19</v>
      </c>
      <c r="H165" t="s">
        <v>23</v>
      </c>
      <c r="I165" t="s">
        <v>17</v>
      </c>
      <c r="J165" t="s">
        <v>24</v>
      </c>
    </row>
    <row r="166" spans="1:15">
      <c r="A166" t="s">
        <v>71</v>
      </c>
      <c r="B166">
        <f t="shared" si="6"/>
        <v>0.13351134846461948</v>
      </c>
      <c r="C166">
        <f t="shared" si="7"/>
        <v>0.53404539385847793</v>
      </c>
      <c r="D166">
        <v>0</v>
      </c>
      <c r="E166" t="s">
        <v>84</v>
      </c>
      <c r="F166" t="s">
        <v>18</v>
      </c>
      <c r="G166" t="s">
        <v>24</v>
      </c>
      <c r="H166" t="s">
        <v>21</v>
      </c>
      <c r="I166" t="s">
        <v>23</v>
      </c>
      <c r="J166" t="s">
        <v>22</v>
      </c>
    </row>
    <row r="167" spans="1:15">
      <c r="A167" t="s">
        <v>71</v>
      </c>
      <c r="B167">
        <f t="shared" si="6"/>
        <v>0.13351134846461948</v>
      </c>
      <c r="C167">
        <f t="shared" si="7"/>
        <v>0.53404539385847793</v>
      </c>
      <c r="D167">
        <v>-0.1</v>
      </c>
      <c r="E167" t="s">
        <v>84</v>
      </c>
      <c r="F167" t="s">
        <v>24</v>
      </c>
      <c r="G167" t="s">
        <v>22</v>
      </c>
      <c r="H167" t="s">
        <v>26</v>
      </c>
      <c r="I167" t="s">
        <v>17</v>
      </c>
      <c r="J167" t="s">
        <v>25</v>
      </c>
    </row>
    <row r="168" spans="1:15">
      <c r="A168" t="s">
        <v>71</v>
      </c>
      <c r="B168">
        <f t="shared" si="6"/>
        <v>0.13351134846461948</v>
      </c>
      <c r="C168">
        <f t="shared" si="7"/>
        <v>0.53404539385847793</v>
      </c>
      <c r="D168">
        <v>-0.2</v>
      </c>
      <c r="E168" t="s">
        <v>84</v>
      </c>
      <c r="F168" t="s">
        <v>17</v>
      </c>
      <c r="G168" t="s">
        <v>22</v>
      </c>
      <c r="H168" t="s">
        <v>26</v>
      </c>
      <c r="I168" t="s">
        <v>19</v>
      </c>
      <c r="J168" t="s">
        <v>24</v>
      </c>
    </row>
    <row r="169" spans="1:15">
      <c r="A169" t="s">
        <v>71</v>
      </c>
      <c r="B169">
        <f t="shared" si="6"/>
        <v>0.13351134846461948</v>
      </c>
      <c r="C169">
        <f t="shared" si="7"/>
        <v>0.53404539385847793</v>
      </c>
      <c r="D169">
        <v>-0.3</v>
      </c>
      <c r="E169" t="s">
        <v>84</v>
      </c>
      <c r="F169" t="s">
        <v>18</v>
      </c>
      <c r="G169" t="s">
        <v>24</v>
      </c>
      <c r="H169" t="s">
        <v>21</v>
      </c>
      <c r="I169" t="s">
        <v>22</v>
      </c>
      <c r="J169" t="s">
        <v>17</v>
      </c>
    </row>
    <row r="170" spans="1:15">
      <c r="A170" t="s">
        <v>72</v>
      </c>
      <c r="B170">
        <f>1/13.92</f>
        <v>7.183908045977011E-2</v>
      </c>
      <c r="C170">
        <f>4/13.92</f>
        <v>0.28735632183908044</v>
      </c>
      <c r="D170">
        <v>1.7</v>
      </c>
      <c r="E170" t="s">
        <v>84</v>
      </c>
      <c r="F170" t="s">
        <v>20</v>
      </c>
      <c r="G170" t="s">
        <v>18</v>
      </c>
      <c r="H170" t="s">
        <v>25</v>
      </c>
      <c r="I170" t="s">
        <v>22</v>
      </c>
      <c r="J170" t="s">
        <v>21</v>
      </c>
      <c r="K170" t="s">
        <v>20</v>
      </c>
      <c r="L170" t="s">
        <v>18</v>
      </c>
      <c r="M170" t="s">
        <v>25</v>
      </c>
      <c r="N170" t="s">
        <v>22</v>
      </c>
      <c r="O170" t="s">
        <v>21</v>
      </c>
    </row>
    <row r="171" spans="1:15">
      <c r="A171" t="s">
        <v>72</v>
      </c>
      <c r="B171">
        <f t="shared" ref="B171:B190" si="8">1/13.92</f>
        <v>7.183908045977011E-2</v>
      </c>
      <c r="C171">
        <f t="shared" ref="C171:C190" si="9">4/13.92</f>
        <v>0.28735632183908044</v>
      </c>
      <c r="D171">
        <v>1.6</v>
      </c>
      <c r="E171" t="s">
        <v>84</v>
      </c>
      <c r="F171" t="s">
        <v>26</v>
      </c>
      <c r="G171" t="s">
        <v>19</v>
      </c>
      <c r="H171" t="s">
        <v>23</v>
      </c>
      <c r="I171" t="s">
        <v>20</v>
      </c>
      <c r="J171" t="s">
        <v>25</v>
      </c>
      <c r="K171" t="s">
        <v>26</v>
      </c>
      <c r="L171" t="s">
        <v>19</v>
      </c>
      <c r="M171" t="s">
        <v>23</v>
      </c>
      <c r="N171" t="s">
        <v>20</v>
      </c>
      <c r="O171" t="s">
        <v>25</v>
      </c>
    </row>
    <row r="172" spans="1:15">
      <c r="A172" t="s">
        <v>72</v>
      </c>
      <c r="B172">
        <f t="shared" si="8"/>
        <v>7.183908045977011E-2</v>
      </c>
      <c r="C172">
        <f t="shared" si="9"/>
        <v>0.28735632183908044</v>
      </c>
      <c r="D172">
        <v>1.5</v>
      </c>
      <c r="E172" t="s">
        <v>84</v>
      </c>
      <c r="F172" t="s">
        <v>22</v>
      </c>
      <c r="G172" t="s">
        <v>18</v>
      </c>
      <c r="H172" t="s">
        <v>20</v>
      </c>
      <c r="I172" t="s">
        <v>23</v>
      </c>
      <c r="J172" t="s">
        <v>17</v>
      </c>
      <c r="K172" t="s">
        <v>22</v>
      </c>
      <c r="L172" t="s">
        <v>18</v>
      </c>
      <c r="M172" t="s">
        <v>20</v>
      </c>
      <c r="N172" t="s">
        <v>23</v>
      </c>
      <c r="O172" t="s">
        <v>17</v>
      </c>
    </row>
    <row r="173" spans="1:15">
      <c r="A173" t="s">
        <v>72</v>
      </c>
      <c r="B173">
        <f t="shared" si="8"/>
        <v>7.183908045977011E-2</v>
      </c>
      <c r="C173">
        <f t="shared" si="9"/>
        <v>0.28735632183908044</v>
      </c>
      <c r="D173">
        <v>1.4</v>
      </c>
      <c r="E173" t="s">
        <v>84</v>
      </c>
      <c r="F173" t="s">
        <v>26</v>
      </c>
      <c r="G173" t="s">
        <v>18</v>
      </c>
      <c r="H173" t="s">
        <v>22</v>
      </c>
      <c r="I173" t="s">
        <v>24</v>
      </c>
      <c r="J173" t="s">
        <v>19</v>
      </c>
      <c r="K173" t="s">
        <v>26</v>
      </c>
      <c r="L173" t="s">
        <v>18</v>
      </c>
      <c r="M173" t="s">
        <v>22</v>
      </c>
      <c r="N173" t="s">
        <v>24</v>
      </c>
      <c r="O173" t="s">
        <v>19</v>
      </c>
    </row>
    <row r="174" spans="1:15">
      <c r="A174" t="s">
        <v>72</v>
      </c>
      <c r="B174">
        <f t="shared" si="8"/>
        <v>7.183908045977011E-2</v>
      </c>
      <c r="C174">
        <f t="shared" si="9"/>
        <v>0.28735632183908044</v>
      </c>
      <c r="D174">
        <v>1.3</v>
      </c>
      <c r="E174" t="s">
        <v>84</v>
      </c>
      <c r="F174" t="s">
        <v>22</v>
      </c>
      <c r="G174" t="s">
        <v>17</v>
      </c>
      <c r="H174" t="s">
        <v>25</v>
      </c>
      <c r="I174" t="s">
        <v>23</v>
      </c>
      <c r="J174" t="s">
        <v>19</v>
      </c>
      <c r="K174" t="s">
        <v>22</v>
      </c>
      <c r="L174" t="s">
        <v>17</v>
      </c>
      <c r="M174" t="s">
        <v>25</v>
      </c>
      <c r="N174" t="s">
        <v>23</v>
      </c>
      <c r="O174" t="s">
        <v>19</v>
      </c>
    </row>
    <row r="175" spans="1:15">
      <c r="A175" t="s">
        <v>72</v>
      </c>
      <c r="B175">
        <f t="shared" si="8"/>
        <v>7.183908045977011E-2</v>
      </c>
      <c r="C175">
        <f t="shared" si="9"/>
        <v>0.28735632183908044</v>
      </c>
      <c r="D175">
        <v>1.2</v>
      </c>
      <c r="E175" t="s">
        <v>84</v>
      </c>
      <c r="F175" t="s">
        <v>23</v>
      </c>
      <c r="G175" t="s">
        <v>17</v>
      </c>
      <c r="H175" t="s">
        <v>22</v>
      </c>
      <c r="I175" t="s">
        <v>18</v>
      </c>
      <c r="J175" t="s">
        <v>26</v>
      </c>
      <c r="K175" t="s">
        <v>23</v>
      </c>
      <c r="L175" t="s">
        <v>17</v>
      </c>
      <c r="M175" t="s">
        <v>22</v>
      </c>
      <c r="N175" t="s">
        <v>18</v>
      </c>
      <c r="O175" t="s">
        <v>26</v>
      </c>
    </row>
    <row r="176" spans="1:15">
      <c r="A176" t="s">
        <v>72</v>
      </c>
      <c r="B176">
        <f t="shared" si="8"/>
        <v>7.183908045977011E-2</v>
      </c>
      <c r="C176">
        <f t="shared" si="9"/>
        <v>0.28735632183908044</v>
      </c>
      <c r="D176">
        <v>1.1000000000000001</v>
      </c>
      <c r="E176" t="s">
        <v>84</v>
      </c>
      <c r="F176" t="s">
        <v>23</v>
      </c>
      <c r="G176" t="s">
        <v>22</v>
      </c>
      <c r="H176" t="s">
        <v>24</v>
      </c>
      <c r="I176" t="s">
        <v>26</v>
      </c>
      <c r="J176" t="s">
        <v>17</v>
      </c>
      <c r="K176" t="s">
        <v>23</v>
      </c>
      <c r="L176" t="s">
        <v>22</v>
      </c>
      <c r="M176" t="s">
        <v>24</v>
      </c>
      <c r="N176" t="s">
        <v>26</v>
      </c>
      <c r="O176" t="s">
        <v>17</v>
      </c>
    </row>
    <row r="177" spans="1:15">
      <c r="A177" t="s">
        <v>72</v>
      </c>
      <c r="B177">
        <f t="shared" si="8"/>
        <v>7.183908045977011E-2</v>
      </c>
      <c r="C177">
        <f t="shared" si="9"/>
        <v>0.28735632183908044</v>
      </c>
      <c r="D177">
        <v>1</v>
      </c>
      <c r="E177" t="s">
        <v>84</v>
      </c>
      <c r="F177" t="s">
        <v>24</v>
      </c>
      <c r="G177" t="s">
        <v>21</v>
      </c>
      <c r="H177" t="s">
        <v>20</v>
      </c>
      <c r="I177" t="s">
        <v>18</v>
      </c>
      <c r="J177" t="s">
        <v>26</v>
      </c>
      <c r="K177" t="s">
        <v>24</v>
      </c>
      <c r="L177" t="s">
        <v>21</v>
      </c>
      <c r="M177" t="s">
        <v>20</v>
      </c>
      <c r="N177" t="s">
        <v>18</v>
      </c>
      <c r="O177" t="s">
        <v>26</v>
      </c>
    </row>
    <row r="178" spans="1:15">
      <c r="A178" t="s">
        <v>72</v>
      </c>
      <c r="B178">
        <f t="shared" si="8"/>
        <v>7.183908045977011E-2</v>
      </c>
      <c r="C178">
        <f t="shared" si="9"/>
        <v>0.28735632183908044</v>
      </c>
      <c r="D178">
        <v>0.90000000000000102</v>
      </c>
      <c r="E178" t="s">
        <v>84</v>
      </c>
      <c r="F178" t="s">
        <v>18</v>
      </c>
      <c r="G178" t="s">
        <v>17</v>
      </c>
      <c r="H178" t="s">
        <v>19</v>
      </c>
      <c r="I178" t="s">
        <v>20</v>
      </c>
      <c r="J178" t="s">
        <v>23</v>
      </c>
      <c r="K178" t="s">
        <v>18</v>
      </c>
    </row>
    <row r="179" spans="1:15">
      <c r="A179" t="s">
        <v>72</v>
      </c>
      <c r="B179">
        <f t="shared" si="8"/>
        <v>7.183908045977011E-2</v>
      </c>
      <c r="C179">
        <f t="shared" si="9"/>
        <v>0.28735632183908044</v>
      </c>
      <c r="D179">
        <v>0.80000000000000104</v>
      </c>
      <c r="E179" t="s">
        <v>84</v>
      </c>
      <c r="F179" t="s">
        <v>18</v>
      </c>
      <c r="G179" t="s">
        <v>24</v>
      </c>
      <c r="H179" t="s">
        <v>22</v>
      </c>
      <c r="I179" t="s">
        <v>25</v>
      </c>
      <c r="J179" t="s">
        <v>26</v>
      </c>
    </row>
    <row r="180" spans="1:15">
      <c r="A180" t="s">
        <v>72</v>
      </c>
      <c r="B180">
        <f t="shared" si="8"/>
        <v>7.183908045977011E-2</v>
      </c>
      <c r="C180">
        <f t="shared" si="9"/>
        <v>0.28735632183908044</v>
      </c>
      <c r="D180">
        <v>0.70000000000000095</v>
      </c>
      <c r="E180" t="s">
        <v>84</v>
      </c>
      <c r="F180" t="s">
        <v>22</v>
      </c>
      <c r="G180" t="s">
        <v>19</v>
      </c>
      <c r="H180" t="s">
        <v>23</v>
      </c>
      <c r="I180" t="s">
        <v>25</v>
      </c>
      <c r="J180" t="s">
        <v>17</v>
      </c>
    </row>
    <row r="181" spans="1:15">
      <c r="A181" t="s">
        <v>72</v>
      </c>
      <c r="B181">
        <f t="shared" si="8"/>
        <v>7.183908045977011E-2</v>
      </c>
      <c r="C181">
        <f t="shared" si="9"/>
        <v>0.28735632183908044</v>
      </c>
      <c r="D181">
        <v>0.6</v>
      </c>
      <c r="E181" t="s">
        <v>84</v>
      </c>
      <c r="F181" t="s">
        <v>19</v>
      </c>
      <c r="G181" t="s">
        <v>21</v>
      </c>
      <c r="H181" t="s">
        <v>22</v>
      </c>
      <c r="I181" t="s">
        <v>26</v>
      </c>
      <c r="J181" t="s">
        <v>23</v>
      </c>
    </row>
    <row r="182" spans="1:15">
      <c r="A182" t="s">
        <v>72</v>
      </c>
      <c r="B182">
        <f t="shared" si="8"/>
        <v>7.183908045977011E-2</v>
      </c>
      <c r="C182">
        <f t="shared" si="9"/>
        <v>0.28735632183908044</v>
      </c>
      <c r="D182">
        <v>0.5</v>
      </c>
      <c r="E182" t="s">
        <v>84</v>
      </c>
      <c r="F182" t="s">
        <v>26</v>
      </c>
      <c r="G182" t="s">
        <v>17</v>
      </c>
      <c r="H182" t="s">
        <v>24</v>
      </c>
      <c r="I182" t="s">
        <v>25</v>
      </c>
      <c r="J182" t="s">
        <v>23</v>
      </c>
    </row>
    <row r="183" spans="1:15">
      <c r="A183" t="s">
        <v>72</v>
      </c>
      <c r="B183">
        <f t="shared" si="8"/>
        <v>7.183908045977011E-2</v>
      </c>
      <c r="C183">
        <f t="shared" si="9"/>
        <v>0.28735632183908044</v>
      </c>
      <c r="D183">
        <v>0.4</v>
      </c>
      <c r="E183" t="s">
        <v>84</v>
      </c>
      <c r="F183" t="s">
        <v>26</v>
      </c>
      <c r="G183" t="s">
        <v>25</v>
      </c>
      <c r="H183" t="s">
        <v>18</v>
      </c>
      <c r="I183" t="s">
        <v>24</v>
      </c>
      <c r="J183" t="s">
        <v>17</v>
      </c>
    </row>
    <row r="184" spans="1:15">
      <c r="A184" t="s">
        <v>72</v>
      </c>
      <c r="B184">
        <f t="shared" si="8"/>
        <v>7.183908045977011E-2</v>
      </c>
      <c r="C184">
        <f t="shared" si="9"/>
        <v>0.28735632183908044</v>
      </c>
      <c r="D184">
        <v>0.3</v>
      </c>
      <c r="E184" t="s">
        <v>84</v>
      </c>
      <c r="F184" t="s">
        <v>23</v>
      </c>
      <c r="G184" t="s">
        <v>25</v>
      </c>
      <c r="H184" t="s">
        <v>20</v>
      </c>
      <c r="I184" t="s">
        <v>24</v>
      </c>
      <c r="J184" t="s">
        <v>19</v>
      </c>
    </row>
    <row r="185" spans="1:15">
      <c r="A185" t="s">
        <v>72</v>
      </c>
      <c r="B185">
        <f t="shared" si="8"/>
        <v>7.183908045977011E-2</v>
      </c>
      <c r="C185">
        <f t="shared" si="9"/>
        <v>0.28735632183908044</v>
      </c>
      <c r="D185">
        <v>0.2</v>
      </c>
      <c r="E185" t="s">
        <v>84</v>
      </c>
      <c r="F185" t="s">
        <v>26</v>
      </c>
      <c r="G185" t="s">
        <v>19</v>
      </c>
      <c r="H185" t="s">
        <v>17</v>
      </c>
      <c r="I185" t="s">
        <v>20</v>
      </c>
      <c r="J185" t="s">
        <v>22</v>
      </c>
    </row>
    <row r="186" spans="1:15">
      <c r="A186" t="s">
        <v>72</v>
      </c>
      <c r="B186">
        <f t="shared" si="8"/>
        <v>7.183908045977011E-2</v>
      </c>
      <c r="C186">
        <f t="shared" si="9"/>
        <v>0.28735632183908044</v>
      </c>
      <c r="D186">
        <v>9.9999999999999895E-2</v>
      </c>
      <c r="E186" t="s">
        <v>84</v>
      </c>
      <c r="F186" t="s">
        <v>20</v>
      </c>
      <c r="G186" t="s">
        <v>26</v>
      </c>
      <c r="H186" t="s">
        <v>18</v>
      </c>
      <c r="I186" t="s">
        <v>17</v>
      </c>
      <c r="J186" t="s">
        <v>22</v>
      </c>
    </row>
    <row r="187" spans="1:15">
      <c r="A187" t="s">
        <v>72</v>
      </c>
      <c r="B187">
        <f t="shared" si="8"/>
        <v>7.183908045977011E-2</v>
      </c>
      <c r="C187">
        <f t="shared" si="9"/>
        <v>0.28735632183908044</v>
      </c>
      <c r="D187">
        <v>0</v>
      </c>
      <c r="E187" t="s">
        <v>84</v>
      </c>
      <c r="F187" t="s">
        <v>25</v>
      </c>
      <c r="G187" t="s">
        <v>26</v>
      </c>
      <c r="H187" t="s">
        <v>20</v>
      </c>
      <c r="I187" t="s">
        <v>22</v>
      </c>
      <c r="J187" t="s">
        <v>24</v>
      </c>
    </row>
    <row r="188" spans="1:15">
      <c r="A188" t="s">
        <v>72</v>
      </c>
      <c r="B188">
        <f t="shared" si="8"/>
        <v>7.183908045977011E-2</v>
      </c>
      <c r="C188">
        <f t="shared" si="9"/>
        <v>0.28735632183908044</v>
      </c>
      <c r="D188">
        <v>-0.1</v>
      </c>
      <c r="E188" t="s">
        <v>84</v>
      </c>
      <c r="F188" t="s">
        <v>22</v>
      </c>
      <c r="G188" t="s">
        <v>25</v>
      </c>
      <c r="H188" t="s">
        <v>19</v>
      </c>
      <c r="I188" t="s">
        <v>17</v>
      </c>
      <c r="J188" t="s">
        <v>18</v>
      </c>
    </row>
    <row r="189" spans="1:15">
      <c r="A189" t="s">
        <v>72</v>
      </c>
      <c r="B189">
        <f t="shared" si="8"/>
        <v>7.183908045977011E-2</v>
      </c>
      <c r="C189">
        <f t="shared" si="9"/>
        <v>0.28735632183908044</v>
      </c>
      <c r="D189">
        <v>-0.2</v>
      </c>
      <c r="E189" t="s">
        <v>84</v>
      </c>
      <c r="F189" t="s">
        <v>25</v>
      </c>
      <c r="G189" t="s">
        <v>21</v>
      </c>
      <c r="H189" t="s">
        <v>20</v>
      </c>
      <c r="I189" t="s">
        <v>19</v>
      </c>
      <c r="J189" t="s">
        <v>24</v>
      </c>
    </row>
    <row r="190" spans="1:15">
      <c r="A190" t="s">
        <v>72</v>
      </c>
      <c r="B190">
        <f t="shared" si="8"/>
        <v>7.183908045977011E-2</v>
      </c>
      <c r="C190">
        <f t="shared" si="9"/>
        <v>0.28735632183908044</v>
      </c>
      <c r="D190">
        <v>-0.3</v>
      </c>
      <c r="E190" t="s">
        <v>84</v>
      </c>
      <c r="F190" t="s">
        <v>21</v>
      </c>
      <c r="G190" t="s">
        <v>18</v>
      </c>
      <c r="H190" t="s">
        <v>20</v>
      </c>
      <c r="I190" t="s">
        <v>19</v>
      </c>
      <c r="J190" t="s">
        <v>22</v>
      </c>
    </row>
    <row r="191" spans="1:15">
      <c r="A191" t="s">
        <v>73</v>
      </c>
      <c r="B191">
        <f>1/25.62</f>
        <v>3.9032006245121001E-2</v>
      </c>
      <c r="C191">
        <f>4/25.62</f>
        <v>0.156128024980484</v>
      </c>
      <c r="D191">
        <v>1.7</v>
      </c>
      <c r="E191" t="s">
        <v>84</v>
      </c>
      <c r="F191" t="s">
        <v>18</v>
      </c>
      <c r="G191" t="s">
        <v>19</v>
      </c>
      <c r="H191" t="s">
        <v>21</v>
      </c>
      <c r="I191" t="s">
        <v>23</v>
      </c>
      <c r="J191" t="s">
        <v>17</v>
      </c>
      <c r="K191" t="s">
        <v>18</v>
      </c>
      <c r="L191" t="s">
        <v>19</v>
      </c>
      <c r="M191" t="s">
        <v>21</v>
      </c>
      <c r="N191" t="s">
        <v>23</v>
      </c>
      <c r="O191" t="s">
        <v>17</v>
      </c>
    </row>
    <row r="192" spans="1:15">
      <c r="A192" t="s">
        <v>73</v>
      </c>
      <c r="B192">
        <f t="shared" ref="B192:B211" si="10">1/25.62</f>
        <v>3.9032006245121001E-2</v>
      </c>
      <c r="C192">
        <f t="shared" ref="C192:C211" si="11">4/25.62</f>
        <v>0.156128024980484</v>
      </c>
      <c r="D192">
        <v>1.6</v>
      </c>
      <c r="E192" t="s">
        <v>84</v>
      </c>
      <c r="F192" t="s">
        <v>17</v>
      </c>
      <c r="G192" t="s">
        <v>20</v>
      </c>
      <c r="H192" t="s">
        <v>18</v>
      </c>
      <c r="I192" t="s">
        <v>22</v>
      </c>
      <c r="J192" t="s">
        <v>21</v>
      </c>
      <c r="K192" t="s">
        <v>17</v>
      </c>
      <c r="L192" t="s">
        <v>20</v>
      </c>
      <c r="M192" t="s">
        <v>18</v>
      </c>
      <c r="N192" t="s">
        <v>22</v>
      </c>
      <c r="O192" t="s">
        <v>21</v>
      </c>
    </row>
    <row r="193" spans="1:15">
      <c r="A193" t="s">
        <v>73</v>
      </c>
      <c r="B193">
        <f t="shared" si="10"/>
        <v>3.9032006245121001E-2</v>
      </c>
      <c r="C193">
        <f t="shared" si="11"/>
        <v>0.156128024980484</v>
      </c>
      <c r="D193">
        <v>1.5</v>
      </c>
      <c r="E193" t="s">
        <v>84</v>
      </c>
      <c r="F193" t="s">
        <v>24</v>
      </c>
      <c r="G193" t="s">
        <v>26</v>
      </c>
      <c r="H193" t="s">
        <v>23</v>
      </c>
      <c r="I193" t="s">
        <v>18</v>
      </c>
      <c r="J193" t="s">
        <v>17</v>
      </c>
      <c r="K193" t="s">
        <v>24</v>
      </c>
      <c r="L193" t="s">
        <v>26</v>
      </c>
      <c r="M193" t="s">
        <v>23</v>
      </c>
      <c r="N193" t="s">
        <v>18</v>
      </c>
      <c r="O193" t="s">
        <v>17</v>
      </c>
    </row>
    <row r="194" spans="1:15">
      <c r="A194" t="s">
        <v>73</v>
      </c>
      <c r="B194">
        <f t="shared" si="10"/>
        <v>3.9032006245121001E-2</v>
      </c>
      <c r="C194">
        <f t="shared" si="11"/>
        <v>0.156128024980484</v>
      </c>
      <c r="D194">
        <v>1.4</v>
      </c>
      <c r="E194" t="s">
        <v>84</v>
      </c>
      <c r="F194" t="s">
        <v>17</v>
      </c>
      <c r="G194" t="s">
        <v>24</v>
      </c>
      <c r="H194" t="s">
        <v>23</v>
      </c>
      <c r="I194" t="s">
        <v>18</v>
      </c>
      <c r="J194" t="s">
        <v>21</v>
      </c>
      <c r="O194" t="s">
        <v>21</v>
      </c>
    </row>
    <row r="195" spans="1:15">
      <c r="A195" t="s">
        <v>73</v>
      </c>
      <c r="B195">
        <f t="shared" si="10"/>
        <v>3.9032006245121001E-2</v>
      </c>
      <c r="C195">
        <f t="shared" si="11"/>
        <v>0.156128024980484</v>
      </c>
      <c r="D195">
        <v>1.3</v>
      </c>
      <c r="E195" t="s">
        <v>84</v>
      </c>
      <c r="F195" t="s">
        <v>17</v>
      </c>
      <c r="G195" t="s">
        <v>23</v>
      </c>
      <c r="H195" t="s">
        <v>19</v>
      </c>
      <c r="I195" t="s">
        <v>22</v>
      </c>
      <c r="J195" t="s">
        <v>21</v>
      </c>
    </row>
    <row r="196" spans="1:15">
      <c r="A196" t="s">
        <v>73</v>
      </c>
      <c r="B196">
        <f t="shared" si="10"/>
        <v>3.9032006245121001E-2</v>
      </c>
      <c r="C196">
        <f t="shared" si="11"/>
        <v>0.156128024980484</v>
      </c>
      <c r="D196">
        <v>1.2</v>
      </c>
      <c r="E196" t="s">
        <v>84</v>
      </c>
      <c r="F196" t="s">
        <v>18</v>
      </c>
      <c r="G196" t="s">
        <v>25</v>
      </c>
      <c r="H196" t="s">
        <v>17</v>
      </c>
      <c r="I196" t="s">
        <v>24</v>
      </c>
      <c r="J196" t="s">
        <v>19</v>
      </c>
    </row>
    <row r="197" spans="1:15">
      <c r="A197" t="s">
        <v>73</v>
      </c>
      <c r="B197">
        <f t="shared" si="10"/>
        <v>3.9032006245121001E-2</v>
      </c>
      <c r="C197">
        <f t="shared" si="11"/>
        <v>0.156128024980484</v>
      </c>
      <c r="D197">
        <v>1.1000000000000001</v>
      </c>
      <c r="E197" t="s">
        <v>84</v>
      </c>
      <c r="F197" t="s">
        <v>20</v>
      </c>
      <c r="G197" t="s">
        <v>22</v>
      </c>
      <c r="H197" t="s">
        <v>23</v>
      </c>
      <c r="I197" t="s">
        <v>18</v>
      </c>
      <c r="J197" t="s">
        <v>17</v>
      </c>
    </row>
    <row r="198" spans="1:15">
      <c r="A198" t="s">
        <v>73</v>
      </c>
      <c r="B198">
        <f t="shared" si="10"/>
        <v>3.9032006245121001E-2</v>
      </c>
      <c r="C198">
        <f t="shared" si="11"/>
        <v>0.156128024980484</v>
      </c>
      <c r="D198">
        <v>1</v>
      </c>
      <c r="E198" t="s">
        <v>84</v>
      </c>
      <c r="F198" t="s">
        <v>24</v>
      </c>
      <c r="G198" t="s">
        <v>22</v>
      </c>
      <c r="H198" t="s">
        <v>19</v>
      </c>
      <c r="I198" t="s">
        <v>21</v>
      </c>
      <c r="J198" t="s">
        <v>26</v>
      </c>
    </row>
    <row r="199" spans="1:15">
      <c r="A199" t="s">
        <v>73</v>
      </c>
      <c r="B199">
        <f t="shared" si="10"/>
        <v>3.9032006245121001E-2</v>
      </c>
      <c r="C199">
        <f t="shared" si="11"/>
        <v>0.156128024980484</v>
      </c>
      <c r="D199">
        <v>0.90000000000000102</v>
      </c>
      <c r="E199" t="s">
        <v>84</v>
      </c>
      <c r="F199" t="s">
        <v>23</v>
      </c>
      <c r="G199" t="s">
        <v>20</v>
      </c>
      <c r="H199" t="s">
        <v>18</v>
      </c>
      <c r="I199" t="s">
        <v>17</v>
      </c>
      <c r="J199" t="s">
        <v>25</v>
      </c>
    </row>
    <row r="200" spans="1:15">
      <c r="A200" t="s">
        <v>73</v>
      </c>
      <c r="B200">
        <f t="shared" si="10"/>
        <v>3.9032006245121001E-2</v>
      </c>
      <c r="C200">
        <f t="shared" si="11"/>
        <v>0.156128024980484</v>
      </c>
      <c r="D200">
        <v>0.80000000000000104</v>
      </c>
      <c r="E200" t="s">
        <v>84</v>
      </c>
      <c r="F200" t="s">
        <v>23</v>
      </c>
      <c r="G200" t="s">
        <v>26</v>
      </c>
      <c r="H200" t="s">
        <v>19</v>
      </c>
      <c r="I200" t="s">
        <v>18</v>
      </c>
      <c r="J200" t="s">
        <v>25</v>
      </c>
    </row>
    <row r="201" spans="1:15">
      <c r="A201" t="s">
        <v>73</v>
      </c>
      <c r="B201">
        <f t="shared" si="10"/>
        <v>3.9032006245121001E-2</v>
      </c>
      <c r="C201">
        <f t="shared" si="11"/>
        <v>0.156128024980484</v>
      </c>
      <c r="D201">
        <v>0.70000000000000095</v>
      </c>
      <c r="E201" t="s">
        <v>84</v>
      </c>
      <c r="F201" t="s">
        <v>25</v>
      </c>
      <c r="G201" t="s">
        <v>24</v>
      </c>
      <c r="H201" t="s">
        <v>20</v>
      </c>
      <c r="I201" t="s">
        <v>18</v>
      </c>
      <c r="J201" t="s">
        <v>19</v>
      </c>
    </row>
    <row r="202" spans="1:15">
      <c r="A202" t="s">
        <v>73</v>
      </c>
      <c r="B202">
        <f t="shared" si="10"/>
        <v>3.9032006245121001E-2</v>
      </c>
      <c r="C202">
        <f t="shared" si="11"/>
        <v>0.156128024980484</v>
      </c>
      <c r="D202">
        <v>0.6</v>
      </c>
      <c r="E202" t="s">
        <v>84</v>
      </c>
      <c r="F202" t="s">
        <v>26</v>
      </c>
      <c r="G202" t="s">
        <v>17</v>
      </c>
      <c r="H202" t="s">
        <v>22</v>
      </c>
      <c r="I202" t="s">
        <v>24</v>
      </c>
      <c r="J202" t="s">
        <v>19</v>
      </c>
    </row>
    <row r="203" spans="1:15">
      <c r="A203" t="s">
        <v>73</v>
      </c>
      <c r="B203">
        <f t="shared" si="10"/>
        <v>3.9032006245121001E-2</v>
      </c>
      <c r="C203">
        <f t="shared" si="11"/>
        <v>0.156128024980484</v>
      </c>
      <c r="D203">
        <v>0.5</v>
      </c>
      <c r="E203" t="s">
        <v>84</v>
      </c>
      <c r="F203" t="s">
        <v>26</v>
      </c>
      <c r="G203" t="s">
        <v>17</v>
      </c>
      <c r="H203" t="s">
        <v>21</v>
      </c>
      <c r="I203" t="s">
        <v>24</v>
      </c>
      <c r="J203" t="s">
        <v>23</v>
      </c>
    </row>
    <row r="204" spans="1:15">
      <c r="A204" t="s">
        <v>73</v>
      </c>
      <c r="B204">
        <f t="shared" si="10"/>
        <v>3.9032006245121001E-2</v>
      </c>
      <c r="C204">
        <f t="shared" si="11"/>
        <v>0.156128024980484</v>
      </c>
      <c r="D204">
        <v>0.4</v>
      </c>
      <c r="E204" t="s">
        <v>84</v>
      </c>
      <c r="F204" t="s">
        <v>19</v>
      </c>
      <c r="G204" t="s">
        <v>18</v>
      </c>
      <c r="H204" t="s">
        <v>22</v>
      </c>
      <c r="I204" t="s">
        <v>26</v>
      </c>
      <c r="J204" t="s">
        <v>20</v>
      </c>
    </row>
    <row r="205" spans="1:15">
      <c r="A205" t="s">
        <v>73</v>
      </c>
      <c r="B205">
        <f t="shared" si="10"/>
        <v>3.9032006245121001E-2</v>
      </c>
      <c r="C205">
        <f t="shared" si="11"/>
        <v>0.156128024980484</v>
      </c>
      <c r="D205">
        <v>0.3</v>
      </c>
      <c r="E205" t="s">
        <v>84</v>
      </c>
      <c r="F205" t="s">
        <v>19</v>
      </c>
      <c r="G205" t="s">
        <v>24</v>
      </c>
      <c r="H205" t="s">
        <v>21</v>
      </c>
      <c r="I205" t="s">
        <v>23</v>
      </c>
      <c r="J205" t="s">
        <v>22</v>
      </c>
    </row>
    <row r="206" spans="1:15">
      <c r="A206" t="s">
        <v>73</v>
      </c>
      <c r="B206">
        <f t="shared" si="10"/>
        <v>3.9032006245121001E-2</v>
      </c>
      <c r="C206">
        <f t="shared" si="11"/>
        <v>0.156128024980484</v>
      </c>
      <c r="D206">
        <v>0.2</v>
      </c>
      <c r="E206" t="s">
        <v>84</v>
      </c>
      <c r="F206" t="s">
        <v>19</v>
      </c>
      <c r="G206" t="s">
        <v>25</v>
      </c>
      <c r="H206" t="s">
        <v>26</v>
      </c>
      <c r="I206" t="s">
        <v>22</v>
      </c>
      <c r="J206" t="s">
        <v>20</v>
      </c>
    </row>
    <row r="207" spans="1:15">
      <c r="A207" t="s">
        <v>73</v>
      </c>
      <c r="B207">
        <f t="shared" si="10"/>
        <v>3.9032006245121001E-2</v>
      </c>
      <c r="C207">
        <f t="shared" si="11"/>
        <v>0.156128024980484</v>
      </c>
      <c r="D207">
        <v>9.9999999999999895E-2</v>
      </c>
      <c r="E207" t="s">
        <v>84</v>
      </c>
      <c r="F207" t="s">
        <v>19</v>
      </c>
      <c r="G207" t="s">
        <v>25</v>
      </c>
      <c r="H207" t="s">
        <v>24</v>
      </c>
      <c r="I207" t="s">
        <v>21</v>
      </c>
      <c r="J207" t="s">
        <v>20</v>
      </c>
    </row>
    <row r="208" spans="1:15">
      <c r="A208" t="s">
        <v>73</v>
      </c>
      <c r="B208">
        <f t="shared" si="10"/>
        <v>3.9032006245121001E-2</v>
      </c>
      <c r="C208">
        <f t="shared" si="11"/>
        <v>0.156128024980484</v>
      </c>
      <c r="D208">
        <v>0</v>
      </c>
      <c r="E208" t="s">
        <v>84</v>
      </c>
      <c r="F208" t="s">
        <v>20</v>
      </c>
      <c r="G208" t="s">
        <v>25</v>
      </c>
      <c r="H208" t="s">
        <v>23</v>
      </c>
      <c r="I208" t="s">
        <v>21</v>
      </c>
      <c r="J208" t="s">
        <v>18</v>
      </c>
    </row>
    <row r="209" spans="1:15">
      <c r="A209" t="s">
        <v>73</v>
      </c>
      <c r="B209">
        <f t="shared" si="10"/>
        <v>3.9032006245121001E-2</v>
      </c>
      <c r="C209">
        <f t="shared" si="11"/>
        <v>0.156128024980484</v>
      </c>
      <c r="D209">
        <v>-0.1</v>
      </c>
      <c r="E209" t="s">
        <v>84</v>
      </c>
      <c r="F209" t="s">
        <v>21</v>
      </c>
      <c r="G209" t="s">
        <v>22</v>
      </c>
      <c r="H209" t="s">
        <v>18</v>
      </c>
      <c r="I209" t="s">
        <v>19</v>
      </c>
      <c r="J209" t="s">
        <v>17</v>
      </c>
    </row>
    <row r="210" spans="1:15">
      <c r="A210" t="s">
        <v>73</v>
      </c>
      <c r="B210">
        <f t="shared" si="10"/>
        <v>3.9032006245121001E-2</v>
      </c>
      <c r="C210">
        <f t="shared" si="11"/>
        <v>0.156128024980484</v>
      </c>
      <c r="D210">
        <v>-0.2</v>
      </c>
      <c r="E210" t="s">
        <v>84</v>
      </c>
      <c r="F210" t="s">
        <v>21</v>
      </c>
      <c r="G210" t="s">
        <v>17</v>
      </c>
      <c r="H210" t="s">
        <v>25</v>
      </c>
      <c r="I210" t="s">
        <v>23</v>
      </c>
      <c r="J210" t="s">
        <v>26</v>
      </c>
    </row>
    <row r="211" spans="1:15">
      <c r="A211" t="s">
        <v>73</v>
      </c>
      <c r="B211">
        <f t="shared" si="10"/>
        <v>3.9032006245121001E-2</v>
      </c>
      <c r="C211">
        <f t="shared" si="11"/>
        <v>0.156128024980484</v>
      </c>
      <c r="D211">
        <v>-0.3</v>
      </c>
      <c r="E211" t="s">
        <v>84</v>
      </c>
      <c r="F211" t="s">
        <v>17</v>
      </c>
      <c r="G211" t="s">
        <v>18</v>
      </c>
      <c r="H211" t="s">
        <v>25</v>
      </c>
      <c r="I211" t="s">
        <v>20</v>
      </c>
      <c r="J211" t="s">
        <v>23</v>
      </c>
    </row>
    <row r="212" spans="1:15">
      <c r="A212" t="s">
        <v>74</v>
      </c>
      <c r="B212">
        <f>1/46.62</f>
        <v>2.145002145002145E-2</v>
      </c>
      <c r="C212">
        <f>4/20.9</f>
        <v>0.19138755980861244</v>
      </c>
      <c r="D212">
        <v>1.7</v>
      </c>
      <c r="E212" t="s">
        <v>84</v>
      </c>
      <c r="F212" t="s">
        <v>20</v>
      </c>
      <c r="G212" t="s">
        <v>19</v>
      </c>
      <c r="H212" t="s">
        <v>18</v>
      </c>
      <c r="I212" t="s">
        <v>23</v>
      </c>
      <c r="J212" t="s">
        <v>22</v>
      </c>
      <c r="K212" t="s">
        <v>20</v>
      </c>
      <c r="L212" t="s">
        <v>19</v>
      </c>
      <c r="M212" t="s">
        <v>18</v>
      </c>
      <c r="N212" t="s">
        <v>23</v>
      </c>
      <c r="O212" t="s">
        <v>22</v>
      </c>
    </row>
    <row r="213" spans="1:15">
      <c r="A213" t="s">
        <v>74</v>
      </c>
      <c r="B213">
        <f t="shared" ref="B213:B232" si="12">1/46.62</f>
        <v>2.145002145002145E-2</v>
      </c>
      <c r="C213">
        <f t="shared" ref="C213:C232" si="13">4/20.9</f>
        <v>0.19138755980861244</v>
      </c>
      <c r="D213">
        <v>1.6</v>
      </c>
      <c r="E213" t="s">
        <v>84</v>
      </c>
      <c r="F213" t="s">
        <v>23</v>
      </c>
      <c r="G213" t="s">
        <v>19</v>
      </c>
      <c r="H213" t="s">
        <v>20</v>
      </c>
      <c r="I213" t="s">
        <v>26</v>
      </c>
      <c r="J213" t="s">
        <v>25</v>
      </c>
    </row>
    <row r="214" spans="1:15">
      <c r="A214" t="s">
        <v>74</v>
      </c>
      <c r="B214">
        <f t="shared" si="12"/>
        <v>2.145002145002145E-2</v>
      </c>
      <c r="C214">
        <f t="shared" si="13"/>
        <v>0.19138755980861244</v>
      </c>
      <c r="D214">
        <v>1.5</v>
      </c>
      <c r="E214" t="s">
        <v>84</v>
      </c>
      <c r="F214" t="s">
        <v>26</v>
      </c>
      <c r="G214" t="s">
        <v>22</v>
      </c>
      <c r="H214" t="s">
        <v>20</v>
      </c>
      <c r="I214" t="s">
        <v>17</v>
      </c>
      <c r="J214" t="s">
        <v>21</v>
      </c>
    </row>
    <row r="215" spans="1:15">
      <c r="A215" t="s">
        <v>74</v>
      </c>
      <c r="B215">
        <f t="shared" si="12"/>
        <v>2.145002145002145E-2</v>
      </c>
      <c r="C215">
        <f t="shared" si="13"/>
        <v>0.19138755980861244</v>
      </c>
      <c r="D215">
        <v>1.4</v>
      </c>
      <c r="E215" t="s">
        <v>84</v>
      </c>
      <c r="F215" t="s">
        <v>21</v>
      </c>
      <c r="G215" t="s">
        <v>24</v>
      </c>
      <c r="H215" t="s">
        <v>26</v>
      </c>
      <c r="I215" t="s">
        <v>25</v>
      </c>
      <c r="J215" t="s">
        <v>19</v>
      </c>
    </row>
    <row r="216" spans="1:15">
      <c r="A216" t="s">
        <v>74</v>
      </c>
      <c r="B216">
        <f t="shared" si="12"/>
        <v>2.145002145002145E-2</v>
      </c>
      <c r="C216">
        <f t="shared" si="13"/>
        <v>0.19138755980861244</v>
      </c>
      <c r="D216">
        <v>1.3</v>
      </c>
      <c r="E216" t="s">
        <v>84</v>
      </c>
      <c r="F216" t="s">
        <v>23</v>
      </c>
      <c r="G216" t="s">
        <v>26</v>
      </c>
      <c r="H216" t="s">
        <v>19</v>
      </c>
      <c r="I216" t="s">
        <v>20</v>
      </c>
      <c r="J216" t="s">
        <v>21</v>
      </c>
    </row>
    <row r="217" spans="1:15">
      <c r="A217" t="s">
        <v>74</v>
      </c>
      <c r="B217">
        <f t="shared" si="12"/>
        <v>2.145002145002145E-2</v>
      </c>
      <c r="C217">
        <f t="shared" si="13"/>
        <v>0.19138755980861244</v>
      </c>
      <c r="D217">
        <v>1.2</v>
      </c>
      <c r="E217" t="s">
        <v>84</v>
      </c>
      <c r="F217" t="s">
        <v>20</v>
      </c>
      <c r="G217" t="s">
        <v>21</v>
      </c>
      <c r="H217" t="s">
        <v>17</v>
      </c>
      <c r="I217" t="s">
        <v>24</v>
      </c>
      <c r="J217" t="s">
        <v>19</v>
      </c>
    </row>
    <row r="218" spans="1:15">
      <c r="A218" t="s">
        <v>74</v>
      </c>
      <c r="B218">
        <f t="shared" si="12"/>
        <v>2.145002145002145E-2</v>
      </c>
      <c r="C218">
        <f t="shared" si="13"/>
        <v>0.19138755980861244</v>
      </c>
      <c r="D218">
        <v>1.1000000000000001</v>
      </c>
      <c r="E218" t="s">
        <v>84</v>
      </c>
      <c r="F218" t="s">
        <v>19</v>
      </c>
      <c r="G218" t="s">
        <v>24</v>
      </c>
      <c r="H218" t="s">
        <v>25</v>
      </c>
      <c r="I218" t="s">
        <v>23</v>
      </c>
      <c r="J218" t="s">
        <v>17</v>
      </c>
    </row>
    <row r="219" spans="1:15">
      <c r="A219" t="s">
        <v>74</v>
      </c>
      <c r="B219">
        <f t="shared" si="12"/>
        <v>2.145002145002145E-2</v>
      </c>
      <c r="C219">
        <f t="shared" si="13"/>
        <v>0.19138755980861244</v>
      </c>
      <c r="D219">
        <v>1</v>
      </c>
      <c r="E219" t="s">
        <v>84</v>
      </c>
      <c r="F219" t="s">
        <v>25</v>
      </c>
      <c r="G219" t="s">
        <v>22</v>
      </c>
      <c r="H219" t="s">
        <v>19</v>
      </c>
      <c r="I219" t="s">
        <v>20</v>
      </c>
      <c r="J219" t="s">
        <v>24</v>
      </c>
    </row>
    <row r="220" spans="1:15">
      <c r="A220" t="s">
        <v>74</v>
      </c>
      <c r="B220">
        <f t="shared" si="12"/>
        <v>2.145002145002145E-2</v>
      </c>
      <c r="C220">
        <f t="shared" si="13"/>
        <v>0.19138755980861244</v>
      </c>
      <c r="D220">
        <v>0.90000000000000102</v>
      </c>
      <c r="E220" t="s">
        <v>84</v>
      </c>
      <c r="F220" t="s">
        <v>24</v>
      </c>
      <c r="G220" t="s">
        <v>23</v>
      </c>
      <c r="H220" t="s">
        <v>21</v>
      </c>
      <c r="I220" t="s">
        <v>18</v>
      </c>
      <c r="J220" t="s">
        <v>20</v>
      </c>
    </row>
    <row r="221" spans="1:15">
      <c r="A221" t="s">
        <v>74</v>
      </c>
      <c r="B221">
        <f t="shared" si="12"/>
        <v>2.145002145002145E-2</v>
      </c>
      <c r="C221">
        <f t="shared" si="13"/>
        <v>0.19138755980861244</v>
      </c>
      <c r="D221">
        <v>0.80000000000000104</v>
      </c>
      <c r="E221" t="s">
        <v>84</v>
      </c>
      <c r="F221" t="s">
        <v>18</v>
      </c>
      <c r="G221" t="s">
        <v>19</v>
      </c>
      <c r="H221" t="s">
        <v>22</v>
      </c>
      <c r="I221" t="s">
        <v>21</v>
      </c>
      <c r="J221" t="s">
        <v>20</v>
      </c>
    </row>
    <row r="222" spans="1:15">
      <c r="A222" t="s">
        <v>74</v>
      </c>
      <c r="B222">
        <f t="shared" si="12"/>
        <v>2.145002145002145E-2</v>
      </c>
      <c r="C222">
        <f t="shared" si="13"/>
        <v>0.19138755980861244</v>
      </c>
      <c r="D222">
        <v>0.70000000000000095</v>
      </c>
      <c r="E222" t="s">
        <v>84</v>
      </c>
      <c r="F222" t="s">
        <v>21</v>
      </c>
      <c r="G222" t="s">
        <v>23</v>
      </c>
      <c r="H222" t="s">
        <v>25</v>
      </c>
      <c r="I222" t="s">
        <v>18</v>
      </c>
      <c r="J222" t="s">
        <v>24</v>
      </c>
    </row>
    <row r="223" spans="1:15">
      <c r="A223" t="s">
        <v>74</v>
      </c>
      <c r="B223">
        <f t="shared" si="12"/>
        <v>2.145002145002145E-2</v>
      </c>
      <c r="C223">
        <f t="shared" si="13"/>
        <v>0.19138755980861244</v>
      </c>
      <c r="D223">
        <v>0.6</v>
      </c>
      <c r="E223" t="s">
        <v>84</v>
      </c>
      <c r="F223" t="s">
        <v>19</v>
      </c>
      <c r="G223" t="s">
        <v>26</v>
      </c>
      <c r="H223" t="s">
        <v>24</v>
      </c>
      <c r="I223" t="s">
        <v>18</v>
      </c>
      <c r="J223" t="s">
        <v>25</v>
      </c>
    </row>
    <row r="224" spans="1:15">
      <c r="A224" t="s">
        <v>74</v>
      </c>
      <c r="B224">
        <f t="shared" si="12"/>
        <v>2.145002145002145E-2</v>
      </c>
      <c r="C224">
        <f t="shared" si="13"/>
        <v>0.19138755980861244</v>
      </c>
      <c r="D224">
        <v>0.5</v>
      </c>
      <c r="E224" t="s">
        <v>84</v>
      </c>
      <c r="F224" t="s">
        <v>26</v>
      </c>
      <c r="G224" t="s">
        <v>24</v>
      </c>
      <c r="H224" t="s">
        <v>18</v>
      </c>
      <c r="I224" t="s">
        <v>17</v>
      </c>
      <c r="J224" t="s">
        <v>23</v>
      </c>
    </row>
    <row r="225" spans="1:15">
      <c r="A225" t="s">
        <v>74</v>
      </c>
      <c r="B225">
        <f t="shared" si="12"/>
        <v>2.145002145002145E-2</v>
      </c>
      <c r="C225">
        <f t="shared" si="13"/>
        <v>0.19138755980861244</v>
      </c>
      <c r="D225">
        <v>0.4</v>
      </c>
      <c r="E225" t="s">
        <v>84</v>
      </c>
      <c r="F225" t="s">
        <v>19</v>
      </c>
      <c r="G225" t="s">
        <v>25</v>
      </c>
      <c r="H225" t="s">
        <v>17</v>
      </c>
      <c r="I225" t="s">
        <v>26</v>
      </c>
      <c r="J225" t="s">
        <v>20</v>
      </c>
    </row>
    <row r="226" spans="1:15">
      <c r="A226" t="s">
        <v>74</v>
      </c>
      <c r="B226">
        <f t="shared" si="12"/>
        <v>2.145002145002145E-2</v>
      </c>
      <c r="C226">
        <f t="shared" si="13"/>
        <v>0.19138755980861244</v>
      </c>
      <c r="D226">
        <v>0.3</v>
      </c>
      <c r="E226" t="s">
        <v>84</v>
      </c>
      <c r="F226" t="s">
        <v>22</v>
      </c>
      <c r="G226" t="s">
        <v>25</v>
      </c>
      <c r="H226" t="s">
        <v>17</v>
      </c>
      <c r="I226" t="s">
        <v>21</v>
      </c>
      <c r="J226" t="s">
        <v>20</v>
      </c>
    </row>
    <row r="227" spans="1:15">
      <c r="A227" t="s">
        <v>74</v>
      </c>
      <c r="B227">
        <f t="shared" si="12"/>
        <v>2.145002145002145E-2</v>
      </c>
      <c r="C227">
        <f t="shared" si="13"/>
        <v>0.19138755980861244</v>
      </c>
      <c r="D227">
        <v>0.2</v>
      </c>
      <c r="E227" t="s">
        <v>84</v>
      </c>
      <c r="F227" t="s">
        <v>22</v>
      </c>
      <c r="G227" t="s">
        <v>19</v>
      </c>
      <c r="H227" t="s">
        <v>18</v>
      </c>
      <c r="I227" t="s">
        <v>23</v>
      </c>
      <c r="J227" t="s">
        <v>21</v>
      </c>
    </row>
    <row r="228" spans="1:15">
      <c r="A228" t="s">
        <v>74</v>
      </c>
      <c r="B228">
        <f t="shared" si="12"/>
        <v>2.145002145002145E-2</v>
      </c>
      <c r="C228">
        <f t="shared" si="13"/>
        <v>0.19138755980861244</v>
      </c>
      <c r="D228">
        <v>9.9999999999999895E-2</v>
      </c>
      <c r="E228" t="s">
        <v>84</v>
      </c>
      <c r="F228" t="s">
        <v>23</v>
      </c>
      <c r="G228" t="s">
        <v>25</v>
      </c>
      <c r="H228" t="s">
        <v>26</v>
      </c>
      <c r="I228" t="s">
        <v>21</v>
      </c>
      <c r="J228" t="s">
        <v>22</v>
      </c>
    </row>
    <row r="229" spans="1:15">
      <c r="A229" t="s">
        <v>74</v>
      </c>
      <c r="B229">
        <f t="shared" si="12"/>
        <v>2.145002145002145E-2</v>
      </c>
      <c r="C229">
        <f t="shared" si="13"/>
        <v>0.19138755980861244</v>
      </c>
      <c r="D229">
        <v>0</v>
      </c>
      <c r="E229" t="s">
        <v>84</v>
      </c>
      <c r="F229" t="s">
        <v>23</v>
      </c>
      <c r="G229" t="s">
        <v>22</v>
      </c>
      <c r="H229" t="s">
        <v>19</v>
      </c>
      <c r="I229" t="s">
        <v>18</v>
      </c>
      <c r="J229" t="s">
        <v>25</v>
      </c>
    </row>
    <row r="230" spans="1:15">
      <c r="A230" t="s">
        <v>74</v>
      </c>
      <c r="B230">
        <f t="shared" si="12"/>
        <v>2.145002145002145E-2</v>
      </c>
      <c r="C230">
        <f t="shared" si="13"/>
        <v>0.19138755980861244</v>
      </c>
      <c r="D230">
        <v>-0.1</v>
      </c>
      <c r="E230" t="s">
        <v>84</v>
      </c>
      <c r="F230" t="s">
        <v>17</v>
      </c>
      <c r="G230" t="s">
        <v>18</v>
      </c>
      <c r="H230" t="s">
        <v>24</v>
      </c>
      <c r="I230" t="s">
        <v>23</v>
      </c>
      <c r="J230" t="s">
        <v>25</v>
      </c>
    </row>
    <row r="231" spans="1:15">
      <c r="A231" t="s">
        <v>74</v>
      </c>
      <c r="B231">
        <f t="shared" si="12"/>
        <v>2.145002145002145E-2</v>
      </c>
      <c r="C231">
        <f t="shared" si="13"/>
        <v>0.19138755980861244</v>
      </c>
      <c r="D231">
        <v>-0.2</v>
      </c>
      <c r="E231" t="s">
        <v>84</v>
      </c>
      <c r="F231" t="s">
        <v>24</v>
      </c>
      <c r="G231" t="s">
        <v>18</v>
      </c>
      <c r="H231" t="s">
        <v>26</v>
      </c>
      <c r="I231" t="s">
        <v>21</v>
      </c>
      <c r="J231" t="s">
        <v>23</v>
      </c>
    </row>
    <row r="232" spans="1:15">
      <c r="A232" t="s">
        <v>74</v>
      </c>
      <c r="B232">
        <f t="shared" si="12"/>
        <v>2.145002145002145E-2</v>
      </c>
      <c r="C232">
        <f t="shared" si="13"/>
        <v>0.19138755980861244</v>
      </c>
      <c r="D232">
        <v>-0.3</v>
      </c>
      <c r="E232" t="s">
        <v>84</v>
      </c>
      <c r="F232" t="s">
        <v>26</v>
      </c>
      <c r="G232" t="s">
        <v>22</v>
      </c>
      <c r="H232" t="s">
        <v>19</v>
      </c>
      <c r="I232" t="s">
        <v>20</v>
      </c>
      <c r="J232" t="s">
        <v>24</v>
      </c>
    </row>
    <row r="233" spans="1:15">
      <c r="A233" t="s">
        <v>75</v>
      </c>
      <c r="B233">
        <f>1/2.3</f>
        <v>0.43478260869565222</v>
      </c>
      <c r="C233">
        <f>1/16/2.3</f>
        <v>2.7173913043478264E-2</v>
      </c>
      <c r="D233">
        <v>1.7</v>
      </c>
      <c r="E233" t="s">
        <v>84</v>
      </c>
      <c r="F233" t="s">
        <v>18</v>
      </c>
      <c r="G233" t="s">
        <v>22</v>
      </c>
      <c r="H233" t="s">
        <v>24</v>
      </c>
      <c r="I233" t="s">
        <v>20</v>
      </c>
      <c r="J233" t="s">
        <v>21</v>
      </c>
      <c r="K233" t="s">
        <v>18</v>
      </c>
      <c r="L233" t="s">
        <v>22</v>
      </c>
      <c r="M233" t="s">
        <v>24</v>
      </c>
      <c r="N233" t="s">
        <v>20</v>
      </c>
      <c r="O233" t="s">
        <v>21</v>
      </c>
    </row>
    <row r="234" spans="1:15">
      <c r="A234" t="s">
        <v>75</v>
      </c>
      <c r="B234">
        <f t="shared" ref="B234:B253" si="14">1/2.3</f>
        <v>0.43478260869565222</v>
      </c>
      <c r="C234">
        <f t="shared" ref="C234:C253" si="15">1/16/2.3</f>
        <v>2.7173913043478264E-2</v>
      </c>
      <c r="D234">
        <v>1.6</v>
      </c>
      <c r="E234" t="s">
        <v>84</v>
      </c>
      <c r="F234" t="s">
        <v>20</v>
      </c>
      <c r="G234" t="s">
        <v>25</v>
      </c>
      <c r="H234" t="s">
        <v>19</v>
      </c>
      <c r="I234" t="s">
        <v>22</v>
      </c>
      <c r="J234" t="s">
        <v>18</v>
      </c>
      <c r="K234" t="s">
        <v>20</v>
      </c>
      <c r="L234" t="s">
        <v>25</v>
      </c>
      <c r="M234" t="s">
        <v>19</v>
      </c>
      <c r="N234" t="s">
        <v>22</v>
      </c>
      <c r="O234" t="s">
        <v>18</v>
      </c>
    </row>
    <row r="235" spans="1:15">
      <c r="A235" t="s">
        <v>75</v>
      </c>
      <c r="B235">
        <f t="shared" si="14"/>
        <v>0.43478260869565222</v>
      </c>
      <c r="C235">
        <f t="shared" si="15"/>
        <v>2.7173913043478264E-2</v>
      </c>
      <c r="D235">
        <v>1.5</v>
      </c>
      <c r="E235" t="s">
        <v>84</v>
      </c>
      <c r="F235" t="s">
        <v>18</v>
      </c>
      <c r="G235" t="s">
        <v>21</v>
      </c>
      <c r="H235" t="s">
        <v>25</v>
      </c>
      <c r="I235" t="s">
        <v>20</v>
      </c>
      <c r="J235" t="s">
        <v>24</v>
      </c>
      <c r="K235" t="s">
        <v>18</v>
      </c>
      <c r="L235" t="s">
        <v>21</v>
      </c>
      <c r="M235" t="s">
        <v>25</v>
      </c>
      <c r="N235" t="s">
        <v>20</v>
      </c>
      <c r="O235" t="s">
        <v>24</v>
      </c>
    </row>
    <row r="236" spans="1:15">
      <c r="A236" t="s">
        <v>75</v>
      </c>
      <c r="B236">
        <f t="shared" si="14"/>
        <v>0.43478260869565222</v>
      </c>
      <c r="C236">
        <f t="shared" si="15"/>
        <v>2.7173913043478264E-2</v>
      </c>
      <c r="D236">
        <v>1.4</v>
      </c>
      <c r="E236" t="s">
        <v>84</v>
      </c>
      <c r="F236" t="s">
        <v>26</v>
      </c>
      <c r="G236" t="s">
        <v>25</v>
      </c>
      <c r="H236" t="s">
        <v>22</v>
      </c>
      <c r="I236" t="s">
        <v>19</v>
      </c>
      <c r="J236" t="s">
        <v>23</v>
      </c>
      <c r="K236" t="s">
        <v>26</v>
      </c>
      <c r="L236" t="s">
        <v>25</v>
      </c>
      <c r="M236" t="s">
        <v>22</v>
      </c>
      <c r="N236" t="s">
        <v>19</v>
      </c>
      <c r="O236" t="s">
        <v>23</v>
      </c>
    </row>
    <row r="237" spans="1:15">
      <c r="A237" t="s">
        <v>75</v>
      </c>
      <c r="B237">
        <f t="shared" si="14"/>
        <v>0.43478260869565222</v>
      </c>
      <c r="C237">
        <f t="shared" si="15"/>
        <v>2.7173913043478264E-2</v>
      </c>
      <c r="D237">
        <v>1.3</v>
      </c>
      <c r="E237" t="s">
        <v>84</v>
      </c>
      <c r="F237" t="s">
        <v>24</v>
      </c>
      <c r="G237" t="s">
        <v>23</v>
      </c>
      <c r="H237" t="s">
        <v>19</v>
      </c>
      <c r="I237" t="s">
        <v>17</v>
      </c>
      <c r="J237" t="s">
        <v>18</v>
      </c>
      <c r="K237" t="s">
        <v>24</v>
      </c>
      <c r="L237" t="s">
        <v>23</v>
      </c>
      <c r="M237" t="s">
        <v>19</v>
      </c>
      <c r="N237" t="s">
        <v>17</v>
      </c>
      <c r="O237" t="s">
        <v>18</v>
      </c>
    </row>
    <row r="238" spans="1:15">
      <c r="A238" t="s">
        <v>75</v>
      </c>
      <c r="B238">
        <f t="shared" si="14"/>
        <v>0.43478260869565222</v>
      </c>
      <c r="C238">
        <f t="shared" si="15"/>
        <v>2.7173913043478264E-2</v>
      </c>
      <c r="D238">
        <v>1.2</v>
      </c>
      <c r="E238" t="s">
        <v>84</v>
      </c>
      <c r="F238" t="s">
        <v>26</v>
      </c>
      <c r="G238" t="s">
        <v>19</v>
      </c>
      <c r="H238" t="s">
        <v>24</v>
      </c>
      <c r="I238" t="s">
        <v>23</v>
      </c>
      <c r="J238" t="s">
        <v>17</v>
      </c>
      <c r="K238" t="s">
        <v>26</v>
      </c>
      <c r="L238" t="s">
        <v>19</v>
      </c>
      <c r="M238" t="s">
        <v>24</v>
      </c>
      <c r="N238" t="s">
        <v>23</v>
      </c>
      <c r="O238" t="s">
        <v>17</v>
      </c>
    </row>
    <row r="239" spans="1:15">
      <c r="A239" t="s">
        <v>75</v>
      </c>
      <c r="B239">
        <f t="shared" si="14"/>
        <v>0.43478260869565222</v>
      </c>
      <c r="C239">
        <f t="shared" si="15"/>
        <v>2.7173913043478264E-2</v>
      </c>
      <c r="D239">
        <v>1.1000000000000001</v>
      </c>
      <c r="E239" t="s">
        <v>84</v>
      </c>
      <c r="F239" t="s">
        <v>22</v>
      </c>
      <c r="G239" t="s">
        <v>20</v>
      </c>
      <c r="H239" t="s">
        <v>18</v>
      </c>
      <c r="I239" t="s">
        <v>17</v>
      </c>
      <c r="J239" t="s">
        <v>26</v>
      </c>
      <c r="K239" t="s">
        <v>22</v>
      </c>
      <c r="L239" t="s">
        <v>20</v>
      </c>
      <c r="M239" t="s">
        <v>18</v>
      </c>
      <c r="N239" t="s">
        <v>17</v>
      </c>
      <c r="O239" t="s">
        <v>26</v>
      </c>
    </row>
    <row r="240" spans="1:15">
      <c r="A240" t="s">
        <v>75</v>
      </c>
      <c r="B240">
        <f t="shared" si="14"/>
        <v>0.43478260869565222</v>
      </c>
      <c r="C240">
        <f t="shared" si="15"/>
        <v>2.7173913043478264E-2</v>
      </c>
      <c r="D240">
        <v>1</v>
      </c>
      <c r="E240" t="s">
        <v>84</v>
      </c>
      <c r="F240" t="s">
        <v>20</v>
      </c>
      <c r="G240" t="s">
        <v>19</v>
      </c>
      <c r="H240" t="s">
        <v>17</v>
      </c>
      <c r="I240" t="s">
        <v>23</v>
      </c>
      <c r="J240" t="s">
        <v>18</v>
      </c>
      <c r="K240" t="s">
        <v>20</v>
      </c>
      <c r="L240" t="s">
        <v>19</v>
      </c>
      <c r="M240" t="s">
        <v>17</v>
      </c>
      <c r="N240" t="s">
        <v>23</v>
      </c>
      <c r="O240" t="s">
        <v>18</v>
      </c>
    </row>
    <row r="241" spans="1:15">
      <c r="A241" t="s">
        <v>75</v>
      </c>
      <c r="B241">
        <f t="shared" si="14"/>
        <v>0.43478260869565222</v>
      </c>
      <c r="C241">
        <f t="shared" si="15"/>
        <v>2.7173913043478264E-2</v>
      </c>
      <c r="D241">
        <v>0.90000000000000102</v>
      </c>
      <c r="E241" t="s">
        <v>84</v>
      </c>
      <c r="F241" t="s">
        <v>18</v>
      </c>
      <c r="G241" t="s">
        <v>17</v>
      </c>
      <c r="H241" t="s">
        <v>22</v>
      </c>
      <c r="I241" t="s">
        <v>23</v>
      </c>
      <c r="J241" t="s">
        <v>24</v>
      </c>
      <c r="K241" t="s">
        <v>18</v>
      </c>
      <c r="L241" t="s">
        <v>17</v>
      </c>
      <c r="M241" t="s">
        <v>22</v>
      </c>
      <c r="N241" t="s">
        <v>23</v>
      </c>
      <c r="O241" t="s">
        <v>24</v>
      </c>
    </row>
    <row r="242" spans="1:15">
      <c r="A242" t="s">
        <v>75</v>
      </c>
      <c r="B242">
        <f t="shared" si="14"/>
        <v>0.43478260869565222</v>
      </c>
      <c r="C242">
        <f t="shared" si="15"/>
        <v>2.7173913043478264E-2</v>
      </c>
      <c r="D242">
        <v>0.80000000000000104</v>
      </c>
      <c r="E242" t="s">
        <v>84</v>
      </c>
      <c r="F242" t="s">
        <v>23</v>
      </c>
      <c r="G242" t="s">
        <v>20</v>
      </c>
      <c r="H242" t="s">
        <v>25</v>
      </c>
      <c r="I242" t="s">
        <v>24</v>
      </c>
      <c r="J242" t="s">
        <v>26</v>
      </c>
      <c r="K242" t="s">
        <v>23</v>
      </c>
      <c r="L242" t="s">
        <v>20</v>
      </c>
      <c r="M242" t="s">
        <v>25</v>
      </c>
      <c r="N242" t="s">
        <v>24</v>
      </c>
      <c r="O242" t="s">
        <v>26</v>
      </c>
    </row>
    <row r="243" spans="1:15">
      <c r="A243" t="s">
        <v>75</v>
      </c>
      <c r="B243">
        <f t="shared" si="14"/>
        <v>0.43478260869565222</v>
      </c>
      <c r="C243">
        <f t="shared" si="15"/>
        <v>2.7173913043478264E-2</v>
      </c>
      <c r="D243">
        <v>0.70000000000000095</v>
      </c>
      <c r="E243" t="s">
        <v>84</v>
      </c>
      <c r="F243" t="s">
        <v>19</v>
      </c>
      <c r="G243" t="s">
        <v>22</v>
      </c>
      <c r="H243" t="s">
        <v>18</v>
      </c>
      <c r="I243" t="s">
        <v>23</v>
      </c>
      <c r="J243" t="s">
        <v>17</v>
      </c>
      <c r="L243" t="s">
        <v>22</v>
      </c>
      <c r="M243" t="s">
        <v>18</v>
      </c>
      <c r="N243" t="s">
        <v>23</v>
      </c>
      <c r="O243" t="s">
        <v>17</v>
      </c>
    </row>
    <row r="244" spans="1:15">
      <c r="A244" t="s">
        <v>75</v>
      </c>
      <c r="B244">
        <f t="shared" si="14"/>
        <v>0.43478260869565222</v>
      </c>
      <c r="C244">
        <f t="shared" si="15"/>
        <v>2.7173913043478264E-2</v>
      </c>
      <c r="D244">
        <v>0.6</v>
      </c>
      <c r="E244" t="s">
        <v>84</v>
      </c>
      <c r="F244" t="s">
        <v>21</v>
      </c>
      <c r="G244" t="s">
        <v>25</v>
      </c>
      <c r="H244" t="s">
        <v>20</v>
      </c>
      <c r="I244" t="s">
        <v>19</v>
      </c>
      <c r="J244" t="s">
        <v>17</v>
      </c>
    </row>
    <row r="245" spans="1:15">
      <c r="A245" t="s">
        <v>75</v>
      </c>
      <c r="B245">
        <f t="shared" si="14"/>
        <v>0.43478260869565222</v>
      </c>
      <c r="C245">
        <f t="shared" si="15"/>
        <v>2.7173913043478264E-2</v>
      </c>
      <c r="D245">
        <v>0.5</v>
      </c>
      <c r="E245" t="s">
        <v>84</v>
      </c>
      <c r="F245" t="s">
        <v>21</v>
      </c>
      <c r="G245" t="s">
        <v>22</v>
      </c>
      <c r="H245" t="s">
        <v>19</v>
      </c>
      <c r="I245" t="s">
        <v>24</v>
      </c>
      <c r="J245" t="s">
        <v>17</v>
      </c>
    </row>
    <row r="246" spans="1:15">
      <c r="A246" t="s">
        <v>75</v>
      </c>
      <c r="B246">
        <f t="shared" si="14"/>
        <v>0.43478260869565222</v>
      </c>
      <c r="C246">
        <f t="shared" si="15"/>
        <v>2.7173913043478264E-2</v>
      </c>
      <c r="D246">
        <v>0.4</v>
      </c>
      <c r="E246" t="s">
        <v>84</v>
      </c>
      <c r="F246" t="s">
        <v>26</v>
      </c>
      <c r="G246" t="s">
        <v>19</v>
      </c>
      <c r="H246" t="s">
        <v>22</v>
      </c>
      <c r="I246" t="s">
        <v>23</v>
      </c>
      <c r="J246" t="s">
        <v>21</v>
      </c>
    </row>
    <row r="247" spans="1:15">
      <c r="A247" t="s">
        <v>75</v>
      </c>
      <c r="B247">
        <f t="shared" si="14"/>
        <v>0.43478260869565222</v>
      </c>
      <c r="C247">
        <f t="shared" si="15"/>
        <v>2.7173913043478264E-2</v>
      </c>
      <c r="D247">
        <v>0.3</v>
      </c>
      <c r="E247" t="s">
        <v>84</v>
      </c>
      <c r="F247" t="s">
        <v>26</v>
      </c>
      <c r="G247" t="s">
        <v>21</v>
      </c>
      <c r="H247" t="s">
        <v>24</v>
      </c>
      <c r="I247" t="s">
        <v>20</v>
      </c>
      <c r="J247" t="s">
        <v>19</v>
      </c>
    </row>
    <row r="248" spans="1:15">
      <c r="A248" t="s">
        <v>75</v>
      </c>
      <c r="B248">
        <f t="shared" si="14"/>
        <v>0.43478260869565222</v>
      </c>
      <c r="C248">
        <f t="shared" si="15"/>
        <v>2.7173913043478264E-2</v>
      </c>
      <c r="D248">
        <v>0.2</v>
      </c>
      <c r="E248" t="s">
        <v>84</v>
      </c>
      <c r="F248" t="s">
        <v>19</v>
      </c>
      <c r="G248" t="s">
        <v>18</v>
      </c>
      <c r="H248" t="s">
        <v>25</v>
      </c>
      <c r="I248" t="s">
        <v>21</v>
      </c>
      <c r="J248" t="s">
        <v>23</v>
      </c>
    </row>
    <row r="249" spans="1:15">
      <c r="A249" t="s">
        <v>75</v>
      </c>
      <c r="B249">
        <f t="shared" si="14"/>
        <v>0.43478260869565222</v>
      </c>
      <c r="C249">
        <f t="shared" si="15"/>
        <v>2.7173913043478264E-2</v>
      </c>
      <c r="D249">
        <v>9.9999999999999895E-2</v>
      </c>
      <c r="E249" t="s">
        <v>84</v>
      </c>
      <c r="F249" t="s">
        <v>22</v>
      </c>
      <c r="G249" t="s">
        <v>26</v>
      </c>
      <c r="H249" t="s">
        <v>21</v>
      </c>
      <c r="I249" t="s">
        <v>19</v>
      </c>
      <c r="J249" t="s">
        <v>20</v>
      </c>
    </row>
    <row r="250" spans="1:15">
      <c r="A250" t="s">
        <v>75</v>
      </c>
      <c r="B250">
        <f t="shared" si="14"/>
        <v>0.43478260869565222</v>
      </c>
      <c r="C250">
        <f t="shared" si="15"/>
        <v>2.7173913043478264E-2</v>
      </c>
      <c r="D250">
        <v>0</v>
      </c>
      <c r="E250" t="s">
        <v>84</v>
      </c>
      <c r="F250" t="s">
        <v>18</v>
      </c>
      <c r="G250" t="s">
        <v>23</v>
      </c>
      <c r="H250" t="s">
        <v>21</v>
      </c>
      <c r="I250" t="s">
        <v>17</v>
      </c>
      <c r="J250" t="s">
        <v>19</v>
      </c>
    </row>
    <row r="251" spans="1:15">
      <c r="A251" t="s">
        <v>75</v>
      </c>
      <c r="B251">
        <f t="shared" si="14"/>
        <v>0.43478260869565222</v>
      </c>
      <c r="C251">
        <f t="shared" si="15"/>
        <v>2.7173913043478264E-2</v>
      </c>
      <c r="D251">
        <v>-0.1</v>
      </c>
      <c r="E251" t="s">
        <v>84</v>
      </c>
      <c r="F251" t="s">
        <v>18</v>
      </c>
      <c r="G251" t="s">
        <v>25</v>
      </c>
      <c r="H251" t="s">
        <v>26</v>
      </c>
      <c r="I251" t="s">
        <v>17</v>
      </c>
      <c r="J251" t="s">
        <v>22</v>
      </c>
    </row>
    <row r="252" spans="1:15">
      <c r="A252" t="s">
        <v>75</v>
      </c>
      <c r="B252">
        <f t="shared" si="14"/>
        <v>0.43478260869565222</v>
      </c>
      <c r="C252">
        <f t="shared" si="15"/>
        <v>2.7173913043478264E-2</v>
      </c>
      <c r="D252">
        <v>-0.2</v>
      </c>
      <c r="E252" t="s">
        <v>84</v>
      </c>
      <c r="F252" t="s">
        <v>19</v>
      </c>
      <c r="G252" t="s">
        <v>25</v>
      </c>
      <c r="H252" t="s">
        <v>17</v>
      </c>
      <c r="I252" t="s">
        <v>22</v>
      </c>
      <c r="J252" t="s">
        <v>20</v>
      </c>
    </row>
    <row r="253" spans="1:15">
      <c r="A253" t="s">
        <v>75</v>
      </c>
      <c r="B253">
        <f t="shared" si="14"/>
        <v>0.43478260869565222</v>
      </c>
      <c r="C253">
        <f t="shared" si="15"/>
        <v>2.7173913043478264E-2</v>
      </c>
      <c r="D253">
        <v>-0.3</v>
      </c>
      <c r="E253" t="s">
        <v>84</v>
      </c>
      <c r="F253" t="s">
        <v>22</v>
      </c>
      <c r="G253" t="s">
        <v>21</v>
      </c>
      <c r="H253" t="s">
        <v>25</v>
      </c>
      <c r="I253" t="s">
        <v>19</v>
      </c>
      <c r="J253" t="s">
        <v>17</v>
      </c>
    </row>
    <row r="254" spans="1:15">
      <c r="A254" t="s">
        <v>76</v>
      </c>
      <c r="B254">
        <f>1/3.95</f>
        <v>0.25316455696202528</v>
      </c>
      <c r="C254">
        <f>1/16/3.95</f>
        <v>1.582278481012658E-2</v>
      </c>
      <c r="D254">
        <v>1.7</v>
      </c>
      <c r="E254" t="s">
        <v>84</v>
      </c>
      <c r="F254" t="s">
        <v>25</v>
      </c>
      <c r="G254" t="s">
        <v>17</v>
      </c>
      <c r="H254" t="s">
        <v>24</v>
      </c>
      <c r="I254" t="s">
        <v>26</v>
      </c>
      <c r="J254" t="s">
        <v>22</v>
      </c>
      <c r="K254" t="s">
        <v>25</v>
      </c>
      <c r="L254" t="s">
        <v>17</v>
      </c>
      <c r="M254" t="s">
        <v>24</v>
      </c>
      <c r="N254" t="s">
        <v>26</v>
      </c>
      <c r="O254" t="s">
        <v>22</v>
      </c>
    </row>
    <row r="255" spans="1:15">
      <c r="A255" t="s">
        <v>76</v>
      </c>
      <c r="B255">
        <f t="shared" ref="B255:B274" si="16">1/3.95</f>
        <v>0.25316455696202528</v>
      </c>
      <c r="C255">
        <f t="shared" ref="C255:C274" si="17">1/16/3.95</f>
        <v>1.582278481012658E-2</v>
      </c>
      <c r="D255">
        <v>1.6</v>
      </c>
      <c r="E255" t="s">
        <v>84</v>
      </c>
      <c r="F255" t="s">
        <v>24</v>
      </c>
      <c r="G255" t="s">
        <v>20</v>
      </c>
      <c r="H255" t="s">
        <v>22</v>
      </c>
      <c r="I255" t="s">
        <v>21</v>
      </c>
      <c r="J255" t="s">
        <v>17</v>
      </c>
      <c r="K255" t="s">
        <v>24</v>
      </c>
      <c r="L255" t="s">
        <v>20</v>
      </c>
      <c r="M255" t="s">
        <v>22</v>
      </c>
      <c r="N255" t="s">
        <v>21</v>
      </c>
      <c r="O255" t="s">
        <v>17</v>
      </c>
    </row>
    <row r="256" spans="1:15">
      <c r="A256" t="s">
        <v>76</v>
      </c>
      <c r="B256">
        <f t="shared" si="16"/>
        <v>0.25316455696202528</v>
      </c>
      <c r="C256">
        <f t="shared" si="17"/>
        <v>1.582278481012658E-2</v>
      </c>
      <c r="D256">
        <v>1.5</v>
      </c>
      <c r="E256" t="s">
        <v>84</v>
      </c>
      <c r="F256" t="s">
        <v>22</v>
      </c>
      <c r="G256" t="s">
        <v>26</v>
      </c>
      <c r="H256" t="s">
        <v>23</v>
      </c>
      <c r="I256" t="s">
        <v>21</v>
      </c>
      <c r="J256" t="s">
        <v>25</v>
      </c>
      <c r="K256" t="s">
        <v>22</v>
      </c>
      <c r="L256" t="s">
        <v>26</v>
      </c>
      <c r="M256" t="s">
        <v>23</v>
      </c>
      <c r="N256" t="s">
        <v>21</v>
      </c>
      <c r="O256" t="s">
        <v>25</v>
      </c>
    </row>
    <row r="257" spans="1:15">
      <c r="A257" t="s">
        <v>76</v>
      </c>
      <c r="B257">
        <f t="shared" si="16"/>
        <v>0.25316455696202528</v>
      </c>
      <c r="C257">
        <f t="shared" si="17"/>
        <v>1.582278481012658E-2</v>
      </c>
      <c r="D257">
        <v>1.4</v>
      </c>
      <c r="E257" t="s">
        <v>84</v>
      </c>
      <c r="F257" t="s">
        <v>23</v>
      </c>
      <c r="G257" t="s">
        <v>20</v>
      </c>
      <c r="H257" t="s">
        <v>17</v>
      </c>
      <c r="I257" t="s">
        <v>24</v>
      </c>
      <c r="J257" t="s">
        <v>25</v>
      </c>
      <c r="K257" t="s">
        <v>23</v>
      </c>
      <c r="L257" t="s">
        <v>20</v>
      </c>
      <c r="M257" t="s">
        <v>17</v>
      </c>
      <c r="N257" t="s">
        <v>24</v>
      </c>
      <c r="O257" t="s">
        <v>25</v>
      </c>
    </row>
    <row r="258" spans="1:15">
      <c r="A258" t="s">
        <v>76</v>
      </c>
      <c r="B258">
        <f t="shared" si="16"/>
        <v>0.25316455696202528</v>
      </c>
      <c r="C258">
        <f t="shared" si="17"/>
        <v>1.582278481012658E-2</v>
      </c>
      <c r="D258">
        <v>1.3</v>
      </c>
      <c r="E258" t="s">
        <v>84</v>
      </c>
      <c r="F258" t="s">
        <v>26</v>
      </c>
      <c r="G258" t="s">
        <v>20</v>
      </c>
      <c r="H258" t="s">
        <v>24</v>
      </c>
      <c r="I258" t="s">
        <v>18</v>
      </c>
      <c r="J258" t="s">
        <v>25</v>
      </c>
      <c r="K258" t="s">
        <v>26</v>
      </c>
      <c r="L258" t="s">
        <v>20</v>
      </c>
      <c r="M258" t="s">
        <v>24</v>
      </c>
      <c r="N258" t="s">
        <v>18</v>
      </c>
      <c r="O258" t="s">
        <v>25</v>
      </c>
    </row>
    <row r="259" spans="1:15">
      <c r="A259" t="s">
        <v>76</v>
      </c>
      <c r="B259">
        <f t="shared" si="16"/>
        <v>0.25316455696202528</v>
      </c>
      <c r="C259">
        <f t="shared" si="17"/>
        <v>1.582278481012658E-2</v>
      </c>
      <c r="D259">
        <v>1.2</v>
      </c>
      <c r="E259" t="s">
        <v>84</v>
      </c>
      <c r="F259" t="s">
        <v>19</v>
      </c>
      <c r="G259" t="s">
        <v>21</v>
      </c>
      <c r="H259" t="s">
        <v>20</v>
      </c>
      <c r="I259" t="s">
        <v>24</v>
      </c>
      <c r="J259" t="s">
        <v>18</v>
      </c>
      <c r="K259" t="s">
        <v>19</v>
      </c>
      <c r="L259" t="s">
        <v>21</v>
      </c>
      <c r="M259" t="s">
        <v>20</v>
      </c>
      <c r="N259" t="s">
        <v>24</v>
      </c>
      <c r="O259" t="s">
        <v>18</v>
      </c>
    </row>
    <row r="260" spans="1:15">
      <c r="A260" t="s">
        <v>76</v>
      </c>
      <c r="B260">
        <f t="shared" si="16"/>
        <v>0.25316455696202528</v>
      </c>
      <c r="C260">
        <f t="shared" si="17"/>
        <v>1.582278481012658E-2</v>
      </c>
      <c r="D260">
        <v>1.1000000000000001</v>
      </c>
      <c r="E260" t="s">
        <v>84</v>
      </c>
      <c r="F260" t="s">
        <v>26</v>
      </c>
      <c r="G260" t="s">
        <v>19</v>
      </c>
      <c r="H260" t="s">
        <v>20</v>
      </c>
      <c r="I260" t="s">
        <v>24</v>
      </c>
      <c r="J260" t="s">
        <v>25</v>
      </c>
      <c r="K260" t="s">
        <v>26</v>
      </c>
      <c r="L260" t="s">
        <v>19</v>
      </c>
      <c r="M260" t="s">
        <v>20</v>
      </c>
      <c r="N260" t="s">
        <v>24</v>
      </c>
    </row>
    <row r="261" spans="1:15">
      <c r="A261" t="s">
        <v>76</v>
      </c>
      <c r="B261">
        <f t="shared" si="16"/>
        <v>0.25316455696202528</v>
      </c>
      <c r="C261">
        <f t="shared" si="17"/>
        <v>1.582278481012658E-2</v>
      </c>
      <c r="D261">
        <v>1</v>
      </c>
      <c r="E261" t="s">
        <v>84</v>
      </c>
      <c r="F261" t="s">
        <v>23</v>
      </c>
      <c r="G261" t="s">
        <v>18</v>
      </c>
      <c r="H261" t="s">
        <v>26</v>
      </c>
      <c r="I261" t="s">
        <v>24</v>
      </c>
      <c r="J261" t="s">
        <v>20</v>
      </c>
    </row>
    <row r="262" spans="1:15">
      <c r="A262" t="s">
        <v>76</v>
      </c>
      <c r="B262">
        <f t="shared" si="16"/>
        <v>0.25316455696202528</v>
      </c>
      <c r="C262">
        <f t="shared" si="17"/>
        <v>1.582278481012658E-2</v>
      </c>
      <c r="D262">
        <v>0.90000000000000102</v>
      </c>
      <c r="E262" t="s">
        <v>84</v>
      </c>
      <c r="F262" t="s">
        <v>20</v>
      </c>
      <c r="G262" t="s">
        <v>17</v>
      </c>
      <c r="H262" t="s">
        <v>24</v>
      </c>
      <c r="I262" t="s">
        <v>21</v>
      </c>
      <c r="J262" t="s">
        <v>22</v>
      </c>
    </row>
    <row r="263" spans="1:15">
      <c r="A263" t="s">
        <v>76</v>
      </c>
      <c r="B263">
        <f t="shared" si="16"/>
        <v>0.25316455696202528</v>
      </c>
      <c r="C263">
        <f t="shared" si="17"/>
        <v>1.582278481012658E-2</v>
      </c>
      <c r="D263">
        <v>0.80000000000000104</v>
      </c>
      <c r="E263" t="s">
        <v>84</v>
      </c>
      <c r="F263" t="s">
        <v>20</v>
      </c>
      <c r="G263" t="s">
        <v>22</v>
      </c>
      <c r="H263" t="s">
        <v>25</v>
      </c>
      <c r="I263" t="s">
        <v>21</v>
      </c>
      <c r="J263" t="s">
        <v>26</v>
      </c>
    </row>
    <row r="264" spans="1:15">
      <c r="A264" t="s">
        <v>76</v>
      </c>
      <c r="B264">
        <f t="shared" si="16"/>
        <v>0.25316455696202528</v>
      </c>
      <c r="C264">
        <f t="shared" si="17"/>
        <v>1.582278481012658E-2</v>
      </c>
      <c r="D264">
        <v>0.70000000000000095</v>
      </c>
      <c r="E264" t="s">
        <v>84</v>
      </c>
      <c r="F264" t="s">
        <v>22</v>
      </c>
      <c r="G264" t="s">
        <v>19</v>
      </c>
      <c r="H264" t="s">
        <v>18</v>
      </c>
      <c r="I264" t="s">
        <v>25</v>
      </c>
      <c r="J264" t="s">
        <v>26</v>
      </c>
    </row>
    <row r="265" spans="1:15">
      <c r="A265" t="s">
        <v>76</v>
      </c>
      <c r="B265">
        <f t="shared" si="16"/>
        <v>0.25316455696202528</v>
      </c>
      <c r="C265">
        <f t="shared" si="17"/>
        <v>1.582278481012658E-2</v>
      </c>
      <c r="D265">
        <v>0.6</v>
      </c>
      <c r="E265" t="s">
        <v>84</v>
      </c>
      <c r="F265" t="s">
        <v>24</v>
      </c>
      <c r="G265" t="s">
        <v>25</v>
      </c>
      <c r="H265" t="s">
        <v>17</v>
      </c>
      <c r="I265" t="s">
        <v>19</v>
      </c>
      <c r="J265" t="s">
        <v>21</v>
      </c>
    </row>
    <row r="266" spans="1:15">
      <c r="A266" t="s">
        <v>76</v>
      </c>
      <c r="B266">
        <f t="shared" si="16"/>
        <v>0.25316455696202528</v>
      </c>
      <c r="C266">
        <f t="shared" si="17"/>
        <v>1.582278481012658E-2</v>
      </c>
      <c r="D266">
        <v>0.5</v>
      </c>
      <c r="E266" t="s">
        <v>84</v>
      </c>
      <c r="F266" t="s">
        <v>24</v>
      </c>
      <c r="G266" t="s">
        <v>20</v>
      </c>
      <c r="H266" t="s">
        <v>26</v>
      </c>
      <c r="I266" t="s">
        <v>23</v>
      </c>
      <c r="J266" t="s">
        <v>18</v>
      </c>
    </row>
    <row r="267" spans="1:15">
      <c r="A267" t="s">
        <v>76</v>
      </c>
      <c r="B267">
        <f t="shared" si="16"/>
        <v>0.25316455696202528</v>
      </c>
      <c r="C267">
        <f t="shared" si="17"/>
        <v>1.582278481012658E-2</v>
      </c>
      <c r="D267">
        <v>0.4</v>
      </c>
      <c r="E267" t="s">
        <v>84</v>
      </c>
      <c r="F267" t="s">
        <v>17</v>
      </c>
      <c r="G267" t="s">
        <v>18</v>
      </c>
      <c r="H267" t="s">
        <v>19</v>
      </c>
      <c r="I267" t="s">
        <v>25</v>
      </c>
      <c r="J267" t="s">
        <v>21</v>
      </c>
    </row>
    <row r="268" spans="1:15">
      <c r="A268" t="s">
        <v>76</v>
      </c>
      <c r="B268">
        <f t="shared" si="16"/>
        <v>0.25316455696202528</v>
      </c>
      <c r="C268">
        <f t="shared" si="17"/>
        <v>1.582278481012658E-2</v>
      </c>
      <c r="D268">
        <v>0.3</v>
      </c>
      <c r="E268" t="s">
        <v>84</v>
      </c>
      <c r="F268" t="s">
        <v>24</v>
      </c>
      <c r="G268" t="s">
        <v>19</v>
      </c>
      <c r="H268" t="s">
        <v>18</v>
      </c>
      <c r="I268" t="s">
        <v>21</v>
      </c>
      <c r="J268" t="s">
        <v>17</v>
      </c>
    </row>
    <row r="269" spans="1:15">
      <c r="A269" t="s">
        <v>76</v>
      </c>
      <c r="B269">
        <f t="shared" si="16"/>
        <v>0.25316455696202528</v>
      </c>
      <c r="C269">
        <f t="shared" si="17"/>
        <v>1.582278481012658E-2</v>
      </c>
      <c r="D269">
        <v>0.2</v>
      </c>
      <c r="E269" t="s">
        <v>84</v>
      </c>
      <c r="F269" t="s">
        <v>19</v>
      </c>
      <c r="G269" t="s">
        <v>26</v>
      </c>
      <c r="H269" t="s">
        <v>20</v>
      </c>
      <c r="I269" t="s">
        <v>22</v>
      </c>
      <c r="J269" t="s">
        <v>25</v>
      </c>
    </row>
    <row r="270" spans="1:15">
      <c r="A270" t="s">
        <v>76</v>
      </c>
      <c r="B270">
        <f t="shared" si="16"/>
        <v>0.25316455696202528</v>
      </c>
      <c r="C270">
        <f t="shared" si="17"/>
        <v>1.582278481012658E-2</v>
      </c>
      <c r="D270">
        <v>9.9999999999999895E-2</v>
      </c>
      <c r="E270" t="s">
        <v>84</v>
      </c>
      <c r="F270" t="s">
        <v>21</v>
      </c>
      <c r="G270" t="s">
        <v>18</v>
      </c>
      <c r="H270" t="s">
        <v>22</v>
      </c>
      <c r="I270" t="s">
        <v>25</v>
      </c>
      <c r="J270" t="s">
        <v>17</v>
      </c>
    </row>
    <row r="271" spans="1:15">
      <c r="A271" t="s">
        <v>76</v>
      </c>
      <c r="B271">
        <f t="shared" si="16"/>
        <v>0.25316455696202528</v>
      </c>
      <c r="C271">
        <f t="shared" si="17"/>
        <v>1.582278481012658E-2</v>
      </c>
      <c r="D271">
        <v>0</v>
      </c>
      <c r="E271" t="s">
        <v>84</v>
      </c>
      <c r="F271" t="s">
        <v>21</v>
      </c>
      <c r="G271" t="s">
        <v>26</v>
      </c>
      <c r="H271" t="s">
        <v>23</v>
      </c>
      <c r="I271" t="s">
        <v>24</v>
      </c>
      <c r="J271" t="s">
        <v>20</v>
      </c>
    </row>
    <row r="272" spans="1:15">
      <c r="A272" t="s">
        <v>76</v>
      </c>
      <c r="B272">
        <f t="shared" si="16"/>
        <v>0.25316455696202528</v>
      </c>
      <c r="C272">
        <f t="shared" si="17"/>
        <v>1.582278481012658E-2</v>
      </c>
      <c r="D272">
        <v>-0.1</v>
      </c>
      <c r="E272" t="s">
        <v>84</v>
      </c>
      <c r="F272" t="s">
        <v>17</v>
      </c>
      <c r="G272" t="s">
        <v>24</v>
      </c>
      <c r="H272" t="s">
        <v>25</v>
      </c>
      <c r="I272" t="s">
        <v>19</v>
      </c>
      <c r="J272" t="s">
        <v>26</v>
      </c>
    </row>
    <row r="273" spans="1:15">
      <c r="A273" t="s">
        <v>76</v>
      </c>
      <c r="B273">
        <f t="shared" si="16"/>
        <v>0.25316455696202528</v>
      </c>
      <c r="C273">
        <f t="shared" si="17"/>
        <v>1.582278481012658E-2</v>
      </c>
      <c r="D273">
        <v>-0.2</v>
      </c>
      <c r="E273" t="s">
        <v>84</v>
      </c>
      <c r="F273" t="s">
        <v>24</v>
      </c>
      <c r="G273" t="s">
        <v>26</v>
      </c>
      <c r="H273" t="s">
        <v>25</v>
      </c>
      <c r="I273" t="s">
        <v>20</v>
      </c>
      <c r="J273" t="s">
        <v>18</v>
      </c>
    </row>
    <row r="274" spans="1:15">
      <c r="A274" t="s">
        <v>76</v>
      </c>
      <c r="B274">
        <f t="shared" si="16"/>
        <v>0.25316455696202528</v>
      </c>
      <c r="C274">
        <f t="shared" si="17"/>
        <v>1.582278481012658E-2</v>
      </c>
      <c r="D274">
        <v>-0.3</v>
      </c>
      <c r="E274" t="s">
        <v>84</v>
      </c>
      <c r="F274" t="s">
        <v>25</v>
      </c>
      <c r="G274" t="s">
        <v>22</v>
      </c>
      <c r="H274" t="s">
        <v>21</v>
      </c>
      <c r="I274" t="s">
        <v>24</v>
      </c>
      <c r="J274" t="s">
        <v>17</v>
      </c>
    </row>
    <row r="275" spans="1:15">
      <c r="A275" t="s">
        <v>77</v>
      </c>
      <c r="B275">
        <f>1/6.61</f>
        <v>0.15128593040847199</v>
      </c>
      <c r="C275">
        <f>1/16/6.61</f>
        <v>9.4553706505294995E-3</v>
      </c>
      <c r="D275">
        <v>1.7</v>
      </c>
      <c r="E275" t="s">
        <v>84</v>
      </c>
      <c r="F275" t="s">
        <v>24</v>
      </c>
      <c r="G275" t="s">
        <v>18</v>
      </c>
      <c r="H275" t="s">
        <v>25</v>
      </c>
      <c r="I275" t="s">
        <v>21</v>
      </c>
      <c r="J275" t="s">
        <v>20</v>
      </c>
      <c r="K275" t="s">
        <v>24</v>
      </c>
      <c r="L275" t="s">
        <v>18</v>
      </c>
      <c r="N275" t="s">
        <v>21</v>
      </c>
      <c r="O275" t="s">
        <v>20</v>
      </c>
    </row>
    <row r="276" spans="1:15">
      <c r="A276" t="s">
        <v>77</v>
      </c>
      <c r="B276">
        <f t="shared" ref="B276:B295" si="18">1/6.61</f>
        <v>0.15128593040847199</v>
      </c>
      <c r="C276">
        <f t="shared" ref="C276:C295" si="19">1/16/6.61</f>
        <v>9.4553706505294995E-3</v>
      </c>
      <c r="D276">
        <v>1.6</v>
      </c>
      <c r="E276" t="s">
        <v>84</v>
      </c>
      <c r="F276" t="s">
        <v>18</v>
      </c>
      <c r="G276" t="s">
        <v>19</v>
      </c>
      <c r="H276" t="s">
        <v>22</v>
      </c>
      <c r="I276" t="s">
        <v>17</v>
      </c>
      <c r="J276" t="s">
        <v>26</v>
      </c>
    </row>
    <row r="277" spans="1:15">
      <c r="A277" t="s">
        <v>77</v>
      </c>
      <c r="B277">
        <f t="shared" si="18"/>
        <v>0.15128593040847199</v>
      </c>
      <c r="C277">
        <f t="shared" si="19"/>
        <v>9.4553706505294995E-3</v>
      </c>
      <c r="D277">
        <v>1.5</v>
      </c>
      <c r="E277" t="s">
        <v>84</v>
      </c>
      <c r="F277" t="s">
        <v>20</v>
      </c>
      <c r="G277" t="s">
        <v>21</v>
      </c>
      <c r="H277" t="s">
        <v>22</v>
      </c>
      <c r="I277" t="s">
        <v>26</v>
      </c>
      <c r="J277" t="s">
        <v>18</v>
      </c>
    </row>
    <row r="278" spans="1:15">
      <c r="A278" t="s">
        <v>77</v>
      </c>
      <c r="B278">
        <f t="shared" si="18"/>
        <v>0.15128593040847199</v>
      </c>
      <c r="C278">
        <f t="shared" si="19"/>
        <v>9.4553706505294995E-3</v>
      </c>
      <c r="D278">
        <v>1.4</v>
      </c>
      <c r="E278" t="s">
        <v>84</v>
      </c>
      <c r="F278" t="s">
        <v>25</v>
      </c>
      <c r="G278" t="s">
        <v>23</v>
      </c>
      <c r="H278" t="s">
        <v>19</v>
      </c>
      <c r="I278" t="s">
        <v>20</v>
      </c>
      <c r="J278" t="s">
        <v>17</v>
      </c>
    </row>
    <row r="279" spans="1:15">
      <c r="A279" t="s">
        <v>77</v>
      </c>
      <c r="B279">
        <f t="shared" si="18"/>
        <v>0.15128593040847199</v>
      </c>
      <c r="C279">
        <f t="shared" si="19"/>
        <v>9.4553706505294995E-3</v>
      </c>
      <c r="D279">
        <v>1.3</v>
      </c>
      <c r="E279" t="s">
        <v>84</v>
      </c>
      <c r="F279" t="s">
        <v>25</v>
      </c>
      <c r="G279" t="s">
        <v>19</v>
      </c>
      <c r="H279" t="s">
        <v>18</v>
      </c>
      <c r="I279" t="s">
        <v>20</v>
      </c>
      <c r="J279" t="s">
        <v>24</v>
      </c>
    </row>
    <row r="280" spans="1:15">
      <c r="A280" t="s">
        <v>77</v>
      </c>
      <c r="B280">
        <f t="shared" si="18"/>
        <v>0.15128593040847199</v>
      </c>
      <c r="C280">
        <f t="shared" si="19"/>
        <v>9.4553706505294995E-3</v>
      </c>
      <c r="D280">
        <v>1.2</v>
      </c>
      <c r="E280" t="s">
        <v>84</v>
      </c>
      <c r="F280" t="s">
        <v>25</v>
      </c>
      <c r="G280" t="s">
        <v>19</v>
      </c>
      <c r="H280" t="s">
        <v>21</v>
      </c>
      <c r="I280" t="s">
        <v>22</v>
      </c>
      <c r="J280" t="s">
        <v>18</v>
      </c>
    </row>
    <row r="281" spans="1:15">
      <c r="A281" t="s">
        <v>77</v>
      </c>
      <c r="B281">
        <f t="shared" si="18"/>
        <v>0.15128593040847199</v>
      </c>
      <c r="C281">
        <f t="shared" si="19"/>
        <v>9.4553706505294995E-3</v>
      </c>
      <c r="D281">
        <v>1.1000000000000001</v>
      </c>
      <c r="E281" t="s">
        <v>84</v>
      </c>
      <c r="F281" t="s">
        <v>21</v>
      </c>
      <c r="G281" t="s">
        <v>17</v>
      </c>
      <c r="H281" t="s">
        <v>22</v>
      </c>
      <c r="I281" t="s">
        <v>24</v>
      </c>
      <c r="J281" t="s">
        <v>19</v>
      </c>
    </row>
    <row r="282" spans="1:15">
      <c r="A282" t="s">
        <v>77</v>
      </c>
      <c r="B282">
        <f t="shared" si="18"/>
        <v>0.15128593040847199</v>
      </c>
      <c r="C282">
        <f t="shared" si="19"/>
        <v>9.4553706505294995E-3</v>
      </c>
      <c r="D282">
        <v>1</v>
      </c>
      <c r="E282" t="s">
        <v>84</v>
      </c>
      <c r="F282" t="s">
        <v>20</v>
      </c>
      <c r="G282" t="s">
        <v>21</v>
      </c>
      <c r="H282" t="s">
        <v>23</v>
      </c>
      <c r="I282" t="s">
        <v>26</v>
      </c>
      <c r="J282" t="s">
        <v>25</v>
      </c>
    </row>
    <row r="283" spans="1:15">
      <c r="A283" t="s">
        <v>77</v>
      </c>
      <c r="B283">
        <f t="shared" si="18"/>
        <v>0.15128593040847199</v>
      </c>
      <c r="C283">
        <f t="shared" si="19"/>
        <v>9.4553706505294995E-3</v>
      </c>
      <c r="D283">
        <v>0.90000000000000102</v>
      </c>
      <c r="E283" t="s">
        <v>84</v>
      </c>
      <c r="F283" t="s">
        <v>19</v>
      </c>
      <c r="G283" t="s">
        <v>24</v>
      </c>
      <c r="H283" t="s">
        <v>18</v>
      </c>
      <c r="I283" t="s">
        <v>22</v>
      </c>
      <c r="J283" t="s">
        <v>25</v>
      </c>
    </row>
    <row r="284" spans="1:15">
      <c r="A284" t="s">
        <v>77</v>
      </c>
      <c r="B284">
        <f t="shared" si="18"/>
        <v>0.15128593040847199</v>
      </c>
      <c r="C284">
        <f t="shared" si="19"/>
        <v>9.4553706505294995E-3</v>
      </c>
      <c r="D284">
        <v>0.80000000000000104</v>
      </c>
      <c r="E284" t="s">
        <v>84</v>
      </c>
      <c r="F284" t="s">
        <v>24</v>
      </c>
      <c r="G284" t="s">
        <v>19</v>
      </c>
      <c r="H284" t="s">
        <v>18</v>
      </c>
      <c r="I284" t="s">
        <v>22</v>
      </c>
      <c r="J284" t="s">
        <v>21</v>
      </c>
    </row>
    <row r="285" spans="1:15">
      <c r="A285" t="s">
        <v>77</v>
      </c>
      <c r="B285">
        <f t="shared" si="18"/>
        <v>0.15128593040847199</v>
      </c>
      <c r="C285">
        <f t="shared" si="19"/>
        <v>9.4553706505294995E-3</v>
      </c>
      <c r="D285">
        <v>0.70000000000000095</v>
      </c>
      <c r="E285" t="s">
        <v>84</v>
      </c>
      <c r="F285" t="s">
        <v>19</v>
      </c>
      <c r="G285" t="s">
        <v>20</v>
      </c>
      <c r="H285" t="s">
        <v>18</v>
      </c>
      <c r="I285" t="s">
        <v>25</v>
      </c>
      <c r="J285" t="s">
        <v>26</v>
      </c>
    </row>
    <row r="286" spans="1:15">
      <c r="A286" t="s">
        <v>77</v>
      </c>
      <c r="B286">
        <f t="shared" si="18"/>
        <v>0.15128593040847199</v>
      </c>
      <c r="C286">
        <f t="shared" si="19"/>
        <v>9.4553706505294995E-3</v>
      </c>
      <c r="D286">
        <v>0.6</v>
      </c>
      <c r="E286" t="s">
        <v>84</v>
      </c>
      <c r="F286" t="s">
        <v>23</v>
      </c>
      <c r="G286" t="s">
        <v>24</v>
      </c>
      <c r="H286" t="s">
        <v>25</v>
      </c>
      <c r="I286" t="s">
        <v>17</v>
      </c>
      <c r="J286" t="s">
        <v>21</v>
      </c>
    </row>
    <row r="287" spans="1:15">
      <c r="A287" t="s">
        <v>77</v>
      </c>
      <c r="B287">
        <f t="shared" si="18"/>
        <v>0.15128593040847199</v>
      </c>
      <c r="C287">
        <f t="shared" si="19"/>
        <v>9.4553706505294995E-3</v>
      </c>
      <c r="D287">
        <v>0.5</v>
      </c>
      <c r="E287" t="s">
        <v>84</v>
      </c>
      <c r="F287" t="s">
        <v>17</v>
      </c>
      <c r="G287" t="s">
        <v>22</v>
      </c>
      <c r="H287" t="s">
        <v>19</v>
      </c>
      <c r="I287" t="s">
        <v>20</v>
      </c>
      <c r="J287" t="s">
        <v>18</v>
      </c>
    </row>
    <row r="288" spans="1:15">
      <c r="A288" t="s">
        <v>77</v>
      </c>
      <c r="B288">
        <f t="shared" si="18"/>
        <v>0.15128593040847199</v>
      </c>
      <c r="C288">
        <f t="shared" si="19"/>
        <v>9.4553706505294995E-3</v>
      </c>
      <c r="D288">
        <v>0.4</v>
      </c>
      <c r="E288" t="s">
        <v>84</v>
      </c>
      <c r="F288" t="s">
        <v>24</v>
      </c>
      <c r="G288" t="s">
        <v>20</v>
      </c>
      <c r="H288" t="s">
        <v>17</v>
      </c>
      <c r="I288" t="s">
        <v>23</v>
      </c>
      <c r="J288" t="s">
        <v>18</v>
      </c>
    </row>
    <row r="289" spans="1:10">
      <c r="A289" t="s">
        <v>77</v>
      </c>
      <c r="B289">
        <f t="shared" si="18"/>
        <v>0.15128593040847199</v>
      </c>
      <c r="C289">
        <f t="shared" si="19"/>
        <v>9.4553706505294995E-3</v>
      </c>
      <c r="D289">
        <v>0.3</v>
      </c>
      <c r="E289" t="s">
        <v>84</v>
      </c>
      <c r="F289" t="s">
        <v>22</v>
      </c>
      <c r="G289" t="s">
        <v>21</v>
      </c>
      <c r="H289" t="s">
        <v>18</v>
      </c>
      <c r="I289" t="s">
        <v>20</v>
      </c>
      <c r="J289" t="s">
        <v>17</v>
      </c>
    </row>
    <row r="290" spans="1:10">
      <c r="A290" t="s">
        <v>77</v>
      </c>
      <c r="B290">
        <f t="shared" si="18"/>
        <v>0.15128593040847199</v>
      </c>
      <c r="C290">
        <f t="shared" si="19"/>
        <v>9.4553706505294995E-3</v>
      </c>
      <c r="D290">
        <v>0.2</v>
      </c>
      <c r="E290" t="s">
        <v>84</v>
      </c>
      <c r="F290" t="s">
        <v>18</v>
      </c>
      <c r="G290" t="s">
        <v>19</v>
      </c>
      <c r="H290" t="s">
        <v>17</v>
      </c>
      <c r="I290" t="s">
        <v>21</v>
      </c>
      <c r="J290" t="s">
        <v>20</v>
      </c>
    </row>
    <row r="291" spans="1:10">
      <c r="A291" t="s">
        <v>77</v>
      </c>
      <c r="B291">
        <f t="shared" si="18"/>
        <v>0.15128593040847199</v>
      </c>
      <c r="C291">
        <f t="shared" si="19"/>
        <v>9.4553706505294995E-3</v>
      </c>
      <c r="D291">
        <v>9.9999999999999895E-2</v>
      </c>
      <c r="E291" t="s">
        <v>84</v>
      </c>
      <c r="F291" t="s">
        <v>24</v>
      </c>
      <c r="G291" t="s">
        <v>17</v>
      </c>
      <c r="H291" t="s">
        <v>19</v>
      </c>
      <c r="I291" t="s">
        <v>23</v>
      </c>
      <c r="J291" t="s">
        <v>20</v>
      </c>
    </row>
    <row r="292" spans="1:10">
      <c r="A292" t="s">
        <v>77</v>
      </c>
      <c r="B292">
        <f t="shared" si="18"/>
        <v>0.15128593040847199</v>
      </c>
      <c r="C292">
        <f t="shared" si="19"/>
        <v>9.4553706505294995E-3</v>
      </c>
      <c r="D292">
        <v>0</v>
      </c>
      <c r="E292" t="s">
        <v>84</v>
      </c>
      <c r="F292" t="s">
        <v>18</v>
      </c>
      <c r="G292" t="s">
        <v>25</v>
      </c>
      <c r="H292" t="s">
        <v>23</v>
      </c>
      <c r="I292" t="s">
        <v>22</v>
      </c>
      <c r="J292" t="s">
        <v>21</v>
      </c>
    </row>
    <row r="293" spans="1:10">
      <c r="A293" t="s">
        <v>77</v>
      </c>
      <c r="B293">
        <f t="shared" si="18"/>
        <v>0.15128593040847199</v>
      </c>
      <c r="C293">
        <f t="shared" si="19"/>
        <v>9.4553706505294995E-3</v>
      </c>
      <c r="D293">
        <v>-0.1</v>
      </c>
      <c r="E293" t="s">
        <v>84</v>
      </c>
      <c r="F293" t="s">
        <v>23</v>
      </c>
      <c r="G293" t="s">
        <v>21</v>
      </c>
      <c r="H293" t="s">
        <v>20</v>
      </c>
      <c r="I293" t="s">
        <v>22</v>
      </c>
      <c r="J293" t="s">
        <v>19</v>
      </c>
    </row>
    <row r="294" spans="1:10">
      <c r="A294" t="s">
        <v>77</v>
      </c>
      <c r="B294">
        <f t="shared" si="18"/>
        <v>0.15128593040847199</v>
      </c>
      <c r="C294">
        <f t="shared" si="19"/>
        <v>9.4553706505294995E-3</v>
      </c>
      <c r="D294">
        <v>-0.2</v>
      </c>
      <c r="E294" t="s">
        <v>84</v>
      </c>
      <c r="F294" t="s">
        <v>18</v>
      </c>
      <c r="G294" t="s">
        <v>17</v>
      </c>
      <c r="H294" t="s">
        <v>26</v>
      </c>
      <c r="I294" t="s">
        <v>25</v>
      </c>
      <c r="J294" t="s">
        <v>24</v>
      </c>
    </row>
    <row r="295" spans="1:10">
      <c r="A295" t="s">
        <v>77</v>
      </c>
      <c r="B295">
        <f t="shared" si="18"/>
        <v>0.15128593040847199</v>
      </c>
      <c r="C295">
        <f t="shared" si="19"/>
        <v>9.4553706505294995E-3</v>
      </c>
      <c r="D295">
        <v>-0.3</v>
      </c>
      <c r="E295" t="s">
        <v>84</v>
      </c>
      <c r="F295" t="s">
        <v>22</v>
      </c>
      <c r="G295" t="s">
        <v>19</v>
      </c>
      <c r="H295" t="s">
        <v>17</v>
      </c>
      <c r="I295" t="s">
        <v>26</v>
      </c>
      <c r="J295" t="s">
        <v>20</v>
      </c>
    </row>
    <row r="296" spans="1:10">
      <c r="A296" t="s">
        <v>78</v>
      </c>
      <c r="B296">
        <f>1/10.68</f>
        <v>9.3632958801498134E-2</v>
      </c>
      <c r="C296">
        <f>1/16/10.68</f>
        <v>5.8520599250936334E-3</v>
      </c>
      <c r="D296">
        <v>1.7</v>
      </c>
      <c r="E296" t="s">
        <v>84</v>
      </c>
      <c r="F296" t="s">
        <v>26</v>
      </c>
      <c r="G296" t="s">
        <v>22</v>
      </c>
      <c r="H296" t="s">
        <v>21</v>
      </c>
      <c r="I296" t="s">
        <v>20</v>
      </c>
      <c r="J296" t="s">
        <v>19</v>
      </c>
    </row>
    <row r="297" spans="1:10">
      <c r="A297" t="s">
        <v>78</v>
      </c>
      <c r="B297">
        <f t="shared" ref="B297:B316" si="20">1/10.68</f>
        <v>9.3632958801498134E-2</v>
      </c>
      <c r="C297">
        <f t="shared" ref="C297:C316" si="21">1/16/10.68</f>
        <v>5.8520599250936334E-3</v>
      </c>
      <c r="D297">
        <v>1.6</v>
      </c>
      <c r="E297" t="s">
        <v>84</v>
      </c>
      <c r="F297" t="s">
        <v>17</v>
      </c>
      <c r="G297" t="s">
        <v>26</v>
      </c>
      <c r="H297" t="s">
        <v>21</v>
      </c>
      <c r="I297" t="s">
        <v>25</v>
      </c>
      <c r="J297" t="s">
        <v>19</v>
      </c>
    </row>
    <row r="298" spans="1:10">
      <c r="A298" t="s">
        <v>78</v>
      </c>
      <c r="B298">
        <f t="shared" si="20"/>
        <v>9.3632958801498134E-2</v>
      </c>
      <c r="C298">
        <f t="shared" si="21"/>
        <v>5.8520599250936334E-3</v>
      </c>
      <c r="D298">
        <v>1.5</v>
      </c>
      <c r="E298" t="s">
        <v>84</v>
      </c>
      <c r="F298" t="s">
        <v>22</v>
      </c>
      <c r="G298" t="s">
        <v>19</v>
      </c>
      <c r="H298" t="s">
        <v>20</v>
      </c>
      <c r="I298" t="s">
        <v>18</v>
      </c>
      <c r="J298" t="s">
        <v>21</v>
      </c>
    </row>
    <row r="299" spans="1:10">
      <c r="A299" t="s">
        <v>78</v>
      </c>
      <c r="B299">
        <f t="shared" si="20"/>
        <v>9.3632958801498134E-2</v>
      </c>
      <c r="C299">
        <f t="shared" si="21"/>
        <v>5.8520599250936334E-3</v>
      </c>
      <c r="D299">
        <v>1.4</v>
      </c>
      <c r="E299" t="s">
        <v>84</v>
      </c>
      <c r="F299" t="s">
        <v>22</v>
      </c>
      <c r="G299" t="s">
        <v>26</v>
      </c>
      <c r="H299" t="s">
        <v>19</v>
      </c>
      <c r="I299" t="s">
        <v>25</v>
      </c>
      <c r="J299" t="s">
        <v>20</v>
      </c>
    </row>
    <row r="300" spans="1:10">
      <c r="A300" t="s">
        <v>78</v>
      </c>
      <c r="B300">
        <f t="shared" si="20"/>
        <v>9.3632958801498134E-2</v>
      </c>
      <c r="C300">
        <f t="shared" si="21"/>
        <v>5.8520599250936334E-3</v>
      </c>
      <c r="D300">
        <v>1.3</v>
      </c>
      <c r="E300" t="s">
        <v>84</v>
      </c>
      <c r="F300" t="s">
        <v>26</v>
      </c>
      <c r="G300" t="s">
        <v>22</v>
      </c>
      <c r="H300" t="s">
        <v>23</v>
      </c>
      <c r="I300" t="s">
        <v>21</v>
      </c>
      <c r="J300" t="s">
        <v>17</v>
      </c>
    </row>
    <row r="301" spans="1:10">
      <c r="A301" t="s">
        <v>78</v>
      </c>
      <c r="B301">
        <f t="shared" si="20"/>
        <v>9.3632958801498134E-2</v>
      </c>
      <c r="C301">
        <f t="shared" si="21"/>
        <v>5.8520599250936334E-3</v>
      </c>
      <c r="D301">
        <v>1.2</v>
      </c>
      <c r="E301" t="s">
        <v>84</v>
      </c>
      <c r="F301" t="s">
        <v>26</v>
      </c>
      <c r="G301" t="s">
        <v>24</v>
      </c>
      <c r="H301" t="s">
        <v>18</v>
      </c>
      <c r="I301" t="s">
        <v>23</v>
      </c>
      <c r="J301" t="s">
        <v>25</v>
      </c>
    </row>
    <row r="302" spans="1:10">
      <c r="A302" t="s">
        <v>78</v>
      </c>
      <c r="B302">
        <f t="shared" si="20"/>
        <v>9.3632958801498134E-2</v>
      </c>
      <c r="C302">
        <f t="shared" si="21"/>
        <v>5.8520599250936334E-3</v>
      </c>
      <c r="D302">
        <v>1.1000000000000001</v>
      </c>
      <c r="E302" t="s">
        <v>84</v>
      </c>
      <c r="F302" t="s">
        <v>24</v>
      </c>
      <c r="G302" t="s">
        <v>17</v>
      </c>
      <c r="H302" t="s">
        <v>23</v>
      </c>
      <c r="I302" t="s">
        <v>19</v>
      </c>
      <c r="J302" t="s">
        <v>18</v>
      </c>
    </row>
    <row r="303" spans="1:10">
      <c r="A303" t="s">
        <v>78</v>
      </c>
      <c r="B303">
        <f t="shared" si="20"/>
        <v>9.3632958801498134E-2</v>
      </c>
      <c r="C303">
        <f t="shared" si="21"/>
        <v>5.8520599250936334E-3</v>
      </c>
      <c r="D303">
        <v>1</v>
      </c>
      <c r="E303" t="s">
        <v>84</v>
      </c>
      <c r="F303" t="s">
        <v>22</v>
      </c>
      <c r="G303" t="s">
        <v>23</v>
      </c>
      <c r="H303" t="s">
        <v>17</v>
      </c>
      <c r="I303" t="s">
        <v>24</v>
      </c>
      <c r="J303" t="s">
        <v>19</v>
      </c>
    </row>
    <row r="304" spans="1:10">
      <c r="A304" t="s">
        <v>78</v>
      </c>
      <c r="B304">
        <f t="shared" si="20"/>
        <v>9.3632958801498134E-2</v>
      </c>
      <c r="C304">
        <f t="shared" si="21"/>
        <v>5.8520599250936334E-3</v>
      </c>
      <c r="D304">
        <v>0.90000000000000102</v>
      </c>
      <c r="E304" t="s">
        <v>84</v>
      </c>
      <c r="F304" t="s">
        <v>25</v>
      </c>
      <c r="G304" t="s">
        <v>17</v>
      </c>
      <c r="H304" t="s">
        <v>21</v>
      </c>
      <c r="I304" t="s">
        <v>18</v>
      </c>
      <c r="J304" t="s">
        <v>24</v>
      </c>
    </row>
    <row r="305" spans="1:10">
      <c r="A305" t="s">
        <v>78</v>
      </c>
      <c r="B305">
        <f t="shared" si="20"/>
        <v>9.3632958801498134E-2</v>
      </c>
      <c r="C305">
        <f t="shared" si="21"/>
        <v>5.8520599250936334E-3</v>
      </c>
      <c r="D305">
        <v>0.80000000000000104</v>
      </c>
      <c r="E305" t="s">
        <v>84</v>
      </c>
      <c r="F305" t="s">
        <v>24</v>
      </c>
      <c r="G305" t="s">
        <v>20</v>
      </c>
      <c r="H305" t="s">
        <v>23</v>
      </c>
      <c r="I305" t="s">
        <v>25</v>
      </c>
      <c r="J305" t="s">
        <v>26</v>
      </c>
    </row>
    <row r="306" spans="1:10">
      <c r="A306" t="s">
        <v>78</v>
      </c>
      <c r="B306">
        <f t="shared" si="20"/>
        <v>9.3632958801498134E-2</v>
      </c>
      <c r="C306">
        <f t="shared" si="21"/>
        <v>5.8520599250936334E-3</v>
      </c>
      <c r="D306">
        <v>0.70000000000000095</v>
      </c>
      <c r="E306" t="s">
        <v>84</v>
      </c>
      <c r="F306" t="s">
        <v>22</v>
      </c>
      <c r="G306" t="s">
        <v>20</v>
      </c>
      <c r="H306" t="s">
        <v>24</v>
      </c>
      <c r="I306" t="s">
        <v>23</v>
      </c>
      <c r="J306" t="s">
        <v>18</v>
      </c>
    </row>
    <row r="307" spans="1:10">
      <c r="A307" t="s">
        <v>78</v>
      </c>
      <c r="B307">
        <f t="shared" si="20"/>
        <v>9.3632958801498134E-2</v>
      </c>
      <c r="C307">
        <f t="shared" si="21"/>
        <v>5.8520599250936334E-3</v>
      </c>
      <c r="D307">
        <v>0.6</v>
      </c>
      <c r="E307" t="s">
        <v>84</v>
      </c>
      <c r="F307" t="s">
        <v>22</v>
      </c>
      <c r="G307" t="s">
        <v>24</v>
      </c>
      <c r="H307" t="s">
        <v>23</v>
      </c>
      <c r="I307" t="s">
        <v>17</v>
      </c>
      <c r="J307" t="s">
        <v>18</v>
      </c>
    </row>
    <row r="308" spans="1:10">
      <c r="A308" t="s">
        <v>78</v>
      </c>
      <c r="B308">
        <f t="shared" si="20"/>
        <v>9.3632958801498134E-2</v>
      </c>
      <c r="C308">
        <f t="shared" si="21"/>
        <v>5.8520599250936334E-3</v>
      </c>
      <c r="D308">
        <v>0.5</v>
      </c>
      <c r="E308" t="s">
        <v>84</v>
      </c>
      <c r="F308" t="s">
        <v>25</v>
      </c>
      <c r="G308" t="s">
        <v>24</v>
      </c>
      <c r="H308" t="s">
        <v>17</v>
      </c>
      <c r="I308" t="s">
        <v>20</v>
      </c>
      <c r="J308" t="s">
        <v>19</v>
      </c>
    </row>
    <row r="309" spans="1:10">
      <c r="A309" t="s">
        <v>78</v>
      </c>
      <c r="B309">
        <f t="shared" si="20"/>
        <v>9.3632958801498134E-2</v>
      </c>
      <c r="C309">
        <f t="shared" si="21"/>
        <v>5.8520599250936334E-3</v>
      </c>
      <c r="D309">
        <v>0.4</v>
      </c>
      <c r="E309" t="s">
        <v>84</v>
      </c>
      <c r="F309" t="s">
        <v>21</v>
      </c>
      <c r="G309" t="s">
        <v>25</v>
      </c>
      <c r="H309" t="s">
        <v>19</v>
      </c>
      <c r="I309" t="s">
        <v>22</v>
      </c>
      <c r="J309" t="s">
        <v>17</v>
      </c>
    </row>
    <row r="310" spans="1:10">
      <c r="A310" t="s">
        <v>78</v>
      </c>
      <c r="B310">
        <f t="shared" si="20"/>
        <v>9.3632958801498134E-2</v>
      </c>
      <c r="C310">
        <f t="shared" si="21"/>
        <v>5.8520599250936334E-3</v>
      </c>
      <c r="D310">
        <v>0.3</v>
      </c>
      <c r="E310" t="s">
        <v>84</v>
      </c>
      <c r="F310" t="s">
        <v>23</v>
      </c>
      <c r="G310" t="s">
        <v>24</v>
      </c>
      <c r="H310" t="s">
        <v>21</v>
      </c>
      <c r="I310" t="s">
        <v>17</v>
      </c>
      <c r="J310" t="s">
        <v>19</v>
      </c>
    </row>
    <row r="311" spans="1:10">
      <c r="A311" t="s">
        <v>78</v>
      </c>
      <c r="B311">
        <f t="shared" si="20"/>
        <v>9.3632958801498134E-2</v>
      </c>
      <c r="C311">
        <f t="shared" si="21"/>
        <v>5.8520599250936334E-3</v>
      </c>
      <c r="D311">
        <v>0.2</v>
      </c>
      <c r="E311" t="s">
        <v>84</v>
      </c>
      <c r="F311" t="s">
        <v>17</v>
      </c>
      <c r="G311" t="s">
        <v>18</v>
      </c>
      <c r="H311" t="s">
        <v>19</v>
      </c>
      <c r="I311" t="s">
        <v>22</v>
      </c>
      <c r="J311" t="s">
        <v>25</v>
      </c>
    </row>
    <row r="312" spans="1:10">
      <c r="A312" t="s">
        <v>78</v>
      </c>
      <c r="B312">
        <f t="shared" si="20"/>
        <v>9.3632958801498134E-2</v>
      </c>
      <c r="C312">
        <f t="shared" si="21"/>
        <v>5.8520599250936334E-3</v>
      </c>
      <c r="D312">
        <v>9.9999999999999895E-2</v>
      </c>
      <c r="E312" t="s">
        <v>84</v>
      </c>
      <c r="F312" t="s">
        <v>19</v>
      </c>
      <c r="G312" t="s">
        <v>23</v>
      </c>
      <c r="H312" t="s">
        <v>25</v>
      </c>
      <c r="I312" t="s">
        <v>17</v>
      </c>
      <c r="J312" t="s">
        <v>18</v>
      </c>
    </row>
    <row r="313" spans="1:10">
      <c r="A313" t="s">
        <v>78</v>
      </c>
      <c r="B313">
        <f t="shared" si="20"/>
        <v>9.3632958801498134E-2</v>
      </c>
      <c r="C313">
        <f t="shared" si="21"/>
        <v>5.8520599250936334E-3</v>
      </c>
      <c r="D313">
        <v>0</v>
      </c>
      <c r="E313" t="s">
        <v>84</v>
      </c>
      <c r="F313" t="s">
        <v>20</v>
      </c>
      <c r="G313" t="s">
        <v>25</v>
      </c>
      <c r="H313" t="s">
        <v>17</v>
      </c>
      <c r="I313" t="s">
        <v>22</v>
      </c>
      <c r="J313" t="s">
        <v>19</v>
      </c>
    </row>
    <row r="314" spans="1:10">
      <c r="A314" t="s">
        <v>78</v>
      </c>
      <c r="B314">
        <f t="shared" si="20"/>
        <v>9.3632958801498134E-2</v>
      </c>
      <c r="C314">
        <f t="shared" si="21"/>
        <v>5.8520599250936334E-3</v>
      </c>
      <c r="D314">
        <v>-0.1</v>
      </c>
      <c r="E314" t="s">
        <v>84</v>
      </c>
      <c r="F314" t="s">
        <v>25</v>
      </c>
      <c r="G314" t="s">
        <v>23</v>
      </c>
      <c r="H314" t="s">
        <v>26</v>
      </c>
      <c r="I314" t="s">
        <v>22</v>
      </c>
      <c r="J314" t="s">
        <v>18</v>
      </c>
    </row>
    <row r="315" spans="1:10">
      <c r="A315" t="s">
        <v>78</v>
      </c>
      <c r="B315">
        <f t="shared" si="20"/>
        <v>9.3632958801498134E-2</v>
      </c>
      <c r="C315">
        <f t="shared" si="21"/>
        <v>5.8520599250936334E-3</v>
      </c>
      <c r="D315">
        <v>-0.2</v>
      </c>
      <c r="E315" t="s">
        <v>84</v>
      </c>
      <c r="F315" t="s">
        <v>17</v>
      </c>
      <c r="G315" t="s">
        <v>21</v>
      </c>
      <c r="H315" t="s">
        <v>22</v>
      </c>
      <c r="I315" t="s">
        <v>18</v>
      </c>
      <c r="J315" t="s">
        <v>24</v>
      </c>
    </row>
    <row r="316" spans="1:10">
      <c r="A316" t="s">
        <v>78</v>
      </c>
      <c r="B316">
        <f t="shared" si="20"/>
        <v>9.3632958801498134E-2</v>
      </c>
      <c r="C316">
        <f t="shared" si="21"/>
        <v>5.8520599250936334E-3</v>
      </c>
      <c r="D316">
        <v>-0.3</v>
      </c>
      <c r="E316" t="s">
        <v>84</v>
      </c>
      <c r="F316" t="s">
        <v>20</v>
      </c>
      <c r="G316" t="s">
        <v>17</v>
      </c>
      <c r="H316" t="s">
        <v>19</v>
      </c>
      <c r="I316" t="s">
        <v>24</v>
      </c>
      <c r="J316" t="s">
        <v>25</v>
      </c>
    </row>
    <row r="317" spans="1:10">
      <c r="A317" t="s">
        <v>79</v>
      </c>
      <c r="B317">
        <f>1/16.62</f>
        <v>6.0168471720818288E-2</v>
      </c>
      <c r="C317">
        <f>1/16/16.62</f>
        <v>3.760529482551143E-3</v>
      </c>
      <c r="D317">
        <v>1.7</v>
      </c>
      <c r="E317" t="s">
        <v>84</v>
      </c>
      <c r="F317" t="s">
        <v>19</v>
      </c>
      <c r="G317" t="s">
        <v>24</v>
      </c>
      <c r="H317" t="s">
        <v>21</v>
      </c>
      <c r="I317" t="s">
        <v>22</v>
      </c>
      <c r="J317" t="s">
        <v>18</v>
      </c>
    </row>
    <row r="318" spans="1:10">
      <c r="A318" t="s">
        <v>79</v>
      </c>
      <c r="B318">
        <f t="shared" ref="B318:B337" si="22">1/16.62</f>
        <v>6.0168471720818288E-2</v>
      </c>
      <c r="C318">
        <f t="shared" ref="C318:C337" si="23">1/16/16.62</f>
        <v>3.760529482551143E-3</v>
      </c>
      <c r="D318">
        <v>1.6</v>
      </c>
      <c r="E318" t="s">
        <v>84</v>
      </c>
      <c r="F318" t="s">
        <v>21</v>
      </c>
      <c r="G318" t="s">
        <v>20</v>
      </c>
      <c r="H318" t="s">
        <v>22</v>
      </c>
      <c r="I318" t="s">
        <v>17</v>
      </c>
      <c r="J318" t="s">
        <v>18</v>
      </c>
    </row>
    <row r="319" spans="1:10">
      <c r="A319" t="s">
        <v>79</v>
      </c>
      <c r="B319">
        <f t="shared" si="22"/>
        <v>6.0168471720818288E-2</v>
      </c>
      <c r="C319">
        <f t="shared" si="23"/>
        <v>3.760529482551143E-3</v>
      </c>
      <c r="D319">
        <v>1.5</v>
      </c>
      <c r="E319" t="s">
        <v>84</v>
      </c>
      <c r="F319" t="s">
        <v>23</v>
      </c>
      <c r="G319" t="s">
        <v>24</v>
      </c>
      <c r="H319" t="s">
        <v>18</v>
      </c>
      <c r="I319" t="s">
        <v>21</v>
      </c>
      <c r="J319" t="s">
        <v>19</v>
      </c>
    </row>
    <row r="320" spans="1:10">
      <c r="A320" t="s">
        <v>79</v>
      </c>
      <c r="B320">
        <f t="shared" si="22"/>
        <v>6.0168471720818288E-2</v>
      </c>
      <c r="C320">
        <f t="shared" si="23"/>
        <v>3.760529482551143E-3</v>
      </c>
      <c r="D320">
        <v>1.4</v>
      </c>
      <c r="E320" t="s">
        <v>84</v>
      </c>
      <c r="F320" t="s">
        <v>25</v>
      </c>
      <c r="G320" t="s">
        <v>20</v>
      </c>
      <c r="H320" t="s">
        <v>26</v>
      </c>
      <c r="I320" t="s">
        <v>19</v>
      </c>
      <c r="J320" t="s">
        <v>18</v>
      </c>
    </row>
    <row r="321" spans="1:10">
      <c r="A321" t="s">
        <v>79</v>
      </c>
      <c r="B321">
        <f t="shared" si="22"/>
        <v>6.0168471720818288E-2</v>
      </c>
      <c r="C321">
        <f t="shared" si="23"/>
        <v>3.760529482551143E-3</v>
      </c>
      <c r="D321">
        <v>1.3</v>
      </c>
      <c r="E321" t="s">
        <v>84</v>
      </c>
      <c r="F321" t="s">
        <v>25</v>
      </c>
      <c r="G321" t="s">
        <v>19</v>
      </c>
      <c r="H321" t="s">
        <v>24</v>
      </c>
      <c r="I321" t="s">
        <v>26</v>
      </c>
      <c r="J321" t="s">
        <v>20</v>
      </c>
    </row>
    <row r="322" spans="1:10">
      <c r="A322" t="s">
        <v>79</v>
      </c>
      <c r="B322">
        <f t="shared" si="22"/>
        <v>6.0168471720818288E-2</v>
      </c>
      <c r="C322">
        <f t="shared" si="23"/>
        <v>3.760529482551143E-3</v>
      </c>
      <c r="D322">
        <v>1.2</v>
      </c>
      <c r="E322" t="s">
        <v>84</v>
      </c>
      <c r="F322" t="s">
        <v>23</v>
      </c>
      <c r="G322" t="s">
        <v>20</v>
      </c>
      <c r="H322" t="s">
        <v>17</v>
      </c>
      <c r="I322" t="s">
        <v>21</v>
      </c>
      <c r="J322" t="s">
        <v>19</v>
      </c>
    </row>
    <row r="323" spans="1:10">
      <c r="A323" t="s">
        <v>79</v>
      </c>
      <c r="B323">
        <f t="shared" si="22"/>
        <v>6.0168471720818288E-2</v>
      </c>
      <c r="C323">
        <f t="shared" si="23"/>
        <v>3.760529482551143E-3</v>
      </c>
      <c r="D323">
        <v>1.1000000000000001</v>
      </c>
      <c r="E323" t="s">
        <v>84</v>
      </c>
      <c r="F323" t="s">
        <v>25</v>
      </c>
      <c r="G323" t="s">
        <v>23</v>
      </c>
      <c r="H323" t="s">
        <v>17</v>
      </c>
      <c r="I323" t="s">
        <v>20</v>
      </c>
      <c r="J323" t="s">
        <v>18</v>
      </c>
    </row>
    <row r="324" spans="1:10">
      <c r="A324" t="s">
        <v>79</v>
      </c>
      <c r="B324">
        <f t="shared" si="22"/>
        <v>6.0168471720818288E-2</v>
      </c>
      <c r="C324">
        <f t="shared" si="23"/>
        <v>3.760529482551143E-3</v>
      </c>
      <c r="D324">
        <v>1</v>
      </c>
      <c r="E324" t="s">
        <v>84</v>
      </c>
      <c r="F324" t="s">
        <v>21</v>
      </c>
      <c r="G324" t="s">
        <v>18</v>
      </c>
      <c r="H324" t="s">
        <v>19</v>
      </c>
      <c r="I324" t="s">
        <v>20</v>
      </c>
      <c r="J324" t="s">
        <v>17</v>
      </c>
    </row>
    <row r="325" spans="1:10">
      <c r="A325" t="s">
        <v>79</v>
      </c>
      <c r="B325">
        <f t="shared" si="22"/>
        <v>6.0168471720818288E-2</v>
      </c>
      <c r="C325">
        <f t="shared" si="23"/>
        <v>3.760529482551143E-3</v>
      </c>
      <c r="D325">
        <v>0.90000000000000102</v>
      </c>
      <c r="E325" t="s">
        <v>84</v>
      </c>
      <c r="F325" t="s">
        <v>22</v>
      </c>
      <c r="G325" t="s">
        <v>23</v>
      </c>
      <c r="H325" t="s">
        <v>24</v>
      </c>
      <c r="I325" t="s">
        <v>25</v>
      </c>
      <c r="J325" t="s">
        <v>17</v>
      </c>
    </row>
    <row r="326" spans="1:10">
      <c r="A326" t="s">
        <v>79</v>
      </c>
      <c r="B326">
        <f t="shared" si="22"/>
        <v>6.0168471720818288E-2</v>
      </c>
      <c r="C326">
        <f t="shared" si="23"/>
        <v>3.760529482551143E-3</v>
      </c>
      <c r="D326">
        <v>0.80000000000000104</v>
      </c>
      <c r="E326" t="s">
        <v>84</v>
      </c>
      <c r="F326" t="s">
        <v>25</v>
      </c>
      <c r="G326" t="s">
        <v>19</v>
      </c>
      <c r="H326" t="s">
        <v>17</v>
      </c>
      <c r="I326" t="s">
        <v>21</v>
      </c>
      <c r="J326" t="s">
        <v>26</v>
      </c>
    </row>
    <row r="327" spans="1:10">
      <c r="A327" t="s">
        <v>79</v>
      </c>
      <c r="B327">
        <f t="shared" si="22"/>
        <v>6.0168471720818288E-2</v>
      </c>
      <c r="C327">
        <f t="shared" si="23"/>
        <v>3.760529482551143E-3</v>
      </c>
      <c r="D327">
        <v>0.70000000000000095</v>
      </c>
      <c r="E327" t="s">
        <v>84</v>
      </c>
      <c r="F327" t="s">
        <v>18</v>
      </c>
      <c r="G327" t="s">
        <v>25</v>
      </c>
      <c r="H327" t="s">
        <v>24</v>
      </c>
      <c r="I327" t="s">
        <v>23</v>
      </c>
      <c r="J327" t="s">
        <v>20</v>
      </c>
    </row>
    <row r="328" spans="1:10">
      <c r="A328" t="s">
        <v>79</v>
      </c>
      <c r="B328">
        <f t="shared" si="22"/>
        <v>6.0168471720818288E-2</v>
      </c>
      <c r="C328">
        <f t="shared" si="23"/>
        <v>3.760529482551143E-3</v>
      </c>
      <c r="D328">
        <v>0.6</v>
      </c>
      <c r="E328" t="s">
        <v>84</v>
      </c>
      <c r="F328" t="s">
        <v>19</v>
      </c>
      <c r="G328" t="s">
        <v>17</v>
      </c>
      <c r="H328" t="s">
        <v>21</v>
      </c>
      <c r="I328" t="s">
        <v>26</v>
      </c>
      <c r="J328" t="s">
        <v>25</v>
      </c>
    </row>
    <row r="329" spans="1:10">
      <c r="A329" t="s">
        <v>79</v>
      </c>
      <c r="B329">
        <f t="shared" si="22"/>
        <v>6.0168471720818288E-2</v>
      </c>
      <c r="C329">
        <f t="shared" si="23"/>
        <v>3.760529482551143E-3</v>
      </c>
      <c r="D329">
        <v>0.5</v>
      </c>
      <c r="E329" t="s">
        <v>84</v>
      </c>
      <c r="F329" t="s">
        <v>24</v>
      </c>
      <c r="G329" t="s">
        <v>19</v>
      </c>
      <c r="H329" t="s">
        <v>25</v>
      </c>
      <c r="I329" t="s">
        <v>23</v>
      </c>
      <c r="J329" t="s">
        <v>17</v>
      </c>
    </row>
    <row r="330" spans="1:10">
      <c r="A330" t="s">
        <v>79</v>
      </c>
      <c r="B330">
        <f t="shared" si="22"/>
        <v>6.0168471720818288E-2</v>
      </c>
      <c r="C330">
        <f t="shared" si="23"/>
        <v>3.760529482551143E-3</v>
      </c>
      <c r="D330">
        <v>0.4</v>
      </c>
      <c r="E330" t="s">
        <v>84</v>
      </c>
      <c r="F330" t="s">
        <v>22</v>
      </c>
      <c r="G330" t="s">
        <v>17</v>
      </c>
      <c r="H330" t="s">
        <v>21</v>
      </c>
      <c r="I330" t="s">
        <v>26</v>
      </c>
      <c r="J330" t="s">
        <v>18</v>
      </c>
    </row>
    <row r="331" spans="1:10">
      <c r="A331" t="s">
        <v>79</v>
      </c>
      <c r="B331">
        <f t="shared" si="22"/>
        <v>6.0168471720818288E-2</v>
      </c>
      <c r="C331">
        <f t="shared" si="23"/>
        <v>3.760529482551143E-3</v>
      </c>
      <c r="D331">
        <v>0.3</v>
      </c>
      <c r="E331" t="s">
        <v>84</v>
      </c>
      <c r="F331" t="s">
        <v>18</v>
      </c>
      <c r="G331" t="s">
        <v>21</v>
      </c>
      <c r="H331" t="s">
        <v>25</v>
      </c>
      <c r="I331" t="s">
        <v>20</v>
      </c>
      <c r="J331" t="s">
        <v>26</v>
      </c>
    </row>
    <row r="332" spans="1:10">
      <c r="A332" t="s">
        <v>79</v>
      </c>
      <c r="B332">
        <f t="shared" si="22"/>
        <v>6.0168471720818288E-2</v>
      </c>
      <c r="C332">
        <f t="shared" si="23"/>
        <v>3.760529482551143E-3</v>
      </c>
      <c r="D332">
        <v>0.2</v>
      </c>
      <c r="E332" t="s">
        <v>84</v>
      </c>
      <c r="F332" t="s">
        <v>25</v>
      </c>
      <c r="G332" t="s">
        <v>18</v>
      </c>
      <c r="H332" t="s">
        <v>20</v>
      </c>
      <c r="I332" t="s">
        <v>26</v>
      </c>
      <c r="J332" t="s">
        <v>17</v>
      </c>
    </row>
    <row r="333" spans="1:10">
      <c r="A333" t="s">
        <v>79</v>
      </c>
      <c r="B333">
        <f t="shared" si="22"/>
        <v>6.0168471720818288E-2</v>
      </c>
      <c r="C333">
        <f t="shared" si="23"/>
        <v>3.760529482551143E-3</v>
      </c>
      <c r="D333">
        <v>9.9999999999999895E-2</v>
      </c>
      <c r="E333" t="s">
        <v>84</v>
      </c>
      <c r="F333" t="s">
        <v>23</v>
      </c>
      <c r="G333" t="s">
        <v>25</v>
      </c>
      <c r="H333" t="s">
        <v>20</v>
      </c>
      <c r="I333" t="s">
        <v>26</v>
      </c>
      <c r="J333" t="s">
        <v>24</v>
      </c>
    </row>
    <row r="334" spans="1:10">
      <c r="A334" t="s">
        <v>79</v>
      </c>
      <c r="B334">
        <f t="shared" si="22"/>
        <v>6.0168471720818288E-2</v>
      </c>
      <c r="C334">
        <f t="shared" si="23"/>
        <v>3.760529482551143E-3</v>
      </c>
      <c r="D334">
        <v>0</v>
      </c>
      <c r="E334" t="s">
        <v>84</v>
      </c>
      <c r="F334" t="s">
        <v>19</v>
      </c>
      <c r="G334" t="s">
        <v>20</v>
      </c>
      <c r="H334" t="s">
        <v>21</v>
      </c>
      <c r="I334" t="s">
        <v>26</v>
      </c>
      <c r="J334" t="s">
        <v>24</v>
      </c>
    </row>
    <row r="335" spans="1:10">
      <c r="A335" t="s">
        <v>79</v>
      </c>
      <c r="B335">
        <f t="shared" si="22"/>
        <v>6.0168471720818288E-2</v>
      </c>
      <c r="C335">
        <f t="shared" si="23"/>
        <v>3.760529482551143E-3</v>
      </c>
      <c r="D335">
        <v>-0.1</v>
      </c>
      <c r="E335" t="s">
        <v>84</v>
      </c>
      <c r="F335" t="s">
        <v>26</v>
      </c>
      <c r="G335" t="s">
        <v>20</v>
      </c>
      <c r="H335" t="s">
        <v>25</v>
      </c>
      <c r="I335" t="s">
        <v>19</v>
      </c>
      <c r="J335" t="s">
        <v>17</v>
      </c>
    </row>
    <row r="336" spans="1:10">
      <c r="A336" t="s">
        <v>79</v>
      </c>
      <c r="B336">
        <f t="shared" si="22"/>
        <v>6.0168471720818288E-2</v>
      </c>
      <c r="C336">
        <f t="shared" si="23"/>
        <v>3.760529482551143E-3</v>
      </c>
      <c r="D336">
        <v>-0.2</v>
      </c>
      <c r="E336" t="s">
        <v>84</v>
      </c>
      <c r="F336" t="s">
        <v>24</v>
      </c>
      <c r="G336" t="s">
        <v>22</v>
      </c>
      <c r="H336" t="s">
        <v>17</v>
      </c>
      <c r="I336" t="s">
        <v>20</v>
      </c>
      <c r="J336" t="s">
        <v>23</v>
      </c>
    </row>
    <row r="337" spans="1:10">
      <c r="A337" t="s">
        <v>79</v>
      </c>
      <c r="B337">
        <f t="shared" si="22"/>
        <v>6.0168471720818288E-2</v>
      </c>
      <c r="C337">
        <f t="shared" si="23"/>
        <v>3.760529482551143E-3</v>
      </c>
      <c r="D337">
        <v>-0.3</v>
      </c>
      <c r="E337" t="s">
        <v>84</v>
      </c>
      <c r="F337" t="s">
        <v>25</v>
      </c>
      <c r="G337" t="s">
        <v>17</v>
      </c>
      <c r="H337" t="s">
        <v>24</v>
      </c>
      <c r="I337" t="s">
        <v>20</v>
      </c>
      <c r="J337" t="s">
        <v>23</v>
      </c>
    </row>
    <row r="1048262" spans="3:3">
      <c r="C1048262" s="1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3163-375A-604B-8D62-91B3C6456C64}">
  <dimension ref="A1:O121"/>
  <sheetViews>
    <sheetView workbookViewId="0">
      <pane ySplit="1" topLeftCell="A73" activePane="bottomLeft" state="frozen"/>
      <selection pane="bottomLeft" activeCell="B1" sqref="B1:B104857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85</v>
      </c>
      <c r="B2">
        <v>1</v>
      </c>
      <c r="C2">
        <v>1</v>
      </c>
      <c r="D2">
        <v>1.6</v>
      </c>
      <c r="E2" t="s">
        <v>86</v>
      </c>
    </row>
    <row r="3" spans="1:15">
      <c r="A3" t="s">
        <v>85</v>
      </c>
      <c r="B3">
        <v>1</v>
      </c>
      <c r="C3">
        <v>1</v>
      </c>
      <c r="D3">
        <v>1.5</v>
      </c>
      <c r="E3" t="s">
        <v>86</v>
      </c>
    </row>
    <row r="4" spans="1:15">
      <c r="A4" t="s">
        <v>85</v>
      </c>
      <c r="B4">
        <v>1</v>
      </c>
      <c r="C4">
        <v>1</v>
      </c>
      <c r="D4">
        <v>1.4</v>
      </c>
      <c r="E4" t="s">
        <v>86</v>
      </c>
      <c r="F4" t="s">
        <v>20</v>
      </c>
      <c r="G4" t="s">
        <v>22</v>
      </c>
      <c r="H4" t="s">
        <v>25</v>
      </c>
      <c r="I4" t="s">
        <v>21</v>
      </c>
      <c r="J4" t="s">
        <v>24</v>
      </c>
      <c r="K4" t="s">
        <v>20</v>
      </c>
      <c r="L4" t="s">
        <v>22</v>
      </c>
      <c r="M4" t="s">
        <v>25</v>
      </c>
      <c r="N4" t="s">
        <v>21</v>
      </c>
      <c r="O4" t="s">
        <v>24</v>
      </c>
    </row>
    <row r="5" spans="1:15">
      <c r="A5" t="s">
        <v>85</v>
      </c>
      <c r="B5">
        <v>1</v>
      </c>
      <c r="C5">
        <v>1</v>
      </c>
      <c r="D5">
        <v>1.3</v>
      </c>
      <c r="E5" t="s">
        <v>86</v>
      </c>
      <c r="F5" t="s">
        <v>20</v>
      </c>
      <c r="G5" t="s">
        <v>17</v>
      </c>
      <c r="H5" t="s">
        <v>25</v>
      </c>
      <c r="I5" t="s">
        <v>23</v>
      </c>
      <c r="J5" t="s">
        <v>18</v>
      </c>
      <c r="K5" t="s">
        <v>20</v>
      </c>
      <c r="L5" t="s">
        <v>17</v>
      </c>
      <c r="M5" t="s">
        <v>25</v>
      </c>
      <c r="N5" t="s">
        <v>23</v>
      </c>
      <c r="O5" t="s">
        <v>18</v>
      </c>
    </row>
    <row r="6" spans="1:15">
      <c r="A6" t="s">
        <v>85</v>
      </c>
      <c r="B6">
        <v>1</v>
      </c>
      <c r="C6">
        <v>1</v>
      </c>
      <c r="D6">
        <v>1.2</v>
      </c>
      <c r="E6" t="s">
        <v>86</v>
      </c>
      <c r="F6" t="s">
        <v>19</v>
      </c>
      <c r="G6" t="s">
        <v>26</v>
      </c>
      <c r="H6" t="s">
        <v>21</v>
      </c>
      <c r="I6" t="s">
        <v>18</v>
      </c>
      <c r="J6" t="s">
        <v>17</v>
      </c>
      <c r="K6" t="s">
        <v>19</v>
      </c>
      <c r="L6" t="s">
        <v>26</v>
      </c>
      <c r="M6" t="s">
        <v>21</v>
      </c>
      <c r="N6" t="s">
        <v>18</v>
      </c>
      <c r="O6" t="s">
        <v>17</v>
      </c>
    </row>
    <row r="7" spans="1:15">
      <c r="A7" t="s">
        <v>85</v>
      </c>
      <c r="B7">
        <v>1</v>
      </c>
      <c r="C7">
        <v>1</v>
      </c>
      <c r="D7">
        <v>1.1000000000000001</v>
      </c>
      <c r="E7" t="s">
        <v>86</v>
      </c>
      <c r="F7" t="s">
        <v>24</v>
      </c>
      <c r="G7" t="s">
        <v>19</v>
      </c>
      <c r="H7" t="s">
        <v>17</v>
      </c>
      <c r="I7" t="s">
        <v>25</v>
      </c>
      <c r="J7" t="s">
        <v>20</v>
      </c>
      <c r="K7" t="s">
        <v>24</v>
      </c>
      <c r="L7" t="s">
        <v>19</v>
      </c>
      <c r="M7" t="s">
        <v>17</v>
      </c>
      <c r="N7" t="s">
        <v>25</v>
      </c>
      <c r="O7" t="s">
        <v>20</v>
      </c>
    </row>
    <row r="8" spans="1:15">
      <c r="A8" t="s">
        <v>85</v>
      </c>
      <c r="B8">
        <v>1</v>
      </c>
      <c r="C8">
        <v>1</v>
      </c>
      <c r="D8">
        <v>0.999999999999999</v>
      </c>
      <c r="E8" t="s">
        <v>86</v>
      </c>
      <c r="F8" t="s">
        <v>24</v>
      </c>
      <c r="G8" t="s">
        <v>23</v>
      </c>
      <c r="H8" t="s">
        <v>26</v>
      </c>
      <c r="I8" t="s">
        <v>17</v>
      </c>
      <c r="J8" t="s">
        <v>21</v>
      </c>
      <c r="K8" t="s">
        <v>24</v>
      </c>
      <c r="L8" t="s">
        <v>23</v>
      </c>
      <c r="M8" t="s">
        <v>26</v>
      </c>
      <c r="N8" t="s">
        <v>17</v>
      </c>
      <c r="O8" t="s">
        <v>21</v>
      </c>
    </row>
    <row r="9" spans="1:15">
      <c r="A9" t="s">
        <v>85</v>
      </c>
      <c r="B9">
        <v>1</v>
      </c>
      <c r="C9">
        <v>1</v>
      </c>
      <c r="D9">
        <v>0.89999999999999902</v>
      </c>
      <c r="E9" t="s">
        <v>86</v>
      </c>
      <c r="F9" t="s">
        <v>21</v>
      </c>
      <c r="G9" t="s">
        <v>18</v>
      </c>
      <c r="H9" t="s">
        <v>19</v>
      </c>
      <c r="I9" t="s">
        <v>26</v>
      </c>
      <c r="J9" t="s">
        <v>22</v>
      </c>
      <c r="K9" t="s">
        <v>21</v>
      </c>
      <c r="L9" t="s">
        <v>18</v>
      </c>
      <c r="M9" t="s">
        <v>19</v>
      </c>
      <c r="N9" t="s">
        <v>26</v>
      </c>
      <c r="O9" t="s">
        <v>22</v>
      </c>
    </row>
    <row r="10" spans="1:15">
      <c r="A10" t="s">
        <v>85</v>
      </c>
      <c r="B10">
        <v>1</v>
      </c>
      <c r="C10">
        <v>1</v>
      </c>
      <c r="D10">
        <v>0.79999999999999905</v>
      </c>
      <c r="E10" t="s">
        <v>86</v>
      </c>
      <c r="F10" t="s">
        <v>25</v>
      </c>
      <c r="G10" t="s">
        <v>23</v>
      </c>
      <c r="H10" t="s">
        <v>21</v>
      </c>
      <c r="I10" t="s">
        <v>19</v>
      </c>
      <c r="J10" t="s">
        <v>20</v>
      </c>
      <c r="K10" t="s">
        <v>25</v>
      </c>
      <c r="L10" t="s">
        <v>23</v>
      </c>
      <c r="M10" t="s">
        <v>21</v>
      </c>
      <c r="N10" t="s">
        <v>19</v>
      </c>
      <c r="O10" t="s">
        <v>20</v>
      </c>
    </row>
    <row r="11" spans="1:15">
      <c r="A11" t="s">
        <v>85</v>
      </c>
      <c r="B11">
        <v>1</v>
      </c>
      <c r="C11">
        <v>1</v>
      </c>
      <c r="D11">
        <v>0.69999999999999896</v>
      </c>
      <c r="E11" t="s">
        <v>86</v>
      </c>
      <c r="F11" t="s">
        <v>20</v>
      </c>
      <c r="G11" t="s">
        <v>17</v>
      </c>
      <c r="H11" t="s">
        <v>18</v>
      </c>
      <c r="I11" t="s">
        <v>23</v>
      </c>
      <c r="J11" t="s">
        <v>26</v>
      </c>
      <c r="K11" t="s">
        <v>20</v>
      </c>
      <c r="L11" t="s">
        <v>17</v>
      </c>
      <c r="M11" t="s">
        <v>18</v>
      </c>
      <c r="N11" t="s">
        <v>23</v>
      </c>
      <c r="O11" t="s">
        <v>26</v>
      </c>
    </row>
    <row r="12" spans="1:15">
      <c r="A12" t="s">
        <v>85</v>
      </c>
      <c r="B12">
        <v>1</v>
      </c>
      <c r="C12">
        <v>1</v>
      </c>
      <c r="D12">
        <v>0.6</v>
      </c>
      <c r="E12" t="s">
        <v>86</v>
      </c>
      <c r="F12" t="s">
        <v>18</v>
      </c>
      <c r="G12" t="s">
        <v>19</v>
      </c>
      <c r="H12" t="s">
        <v>17</v>
      </c>
      <c r="I12" t="s">
        <v>20</v>
      </c>
      <c r="J12" t="s">
        <v>26</v>
      </c>
      <c r="K12" t="s">
        <v>18</v>
      </c>
      <c r="L12" t="s">
        <v>19</v>
      </c>
      <c r="M12" t="s">
        <v>17</v>
      </c>
      <c r="N12" t="s">
        <v>20</v>
      </c>
      <c r="O12" t="s">
        <v>26</v>
      </c>
    </row>
    <row r="13" spans="1:15">
      <c r="A13" t="s">
        <v>85</v>
      </c>
      <c r="B13">
        <v>1</v>
      </c>
      <c r="C13">
        <v>1</v>
      </c>
      <c r="D13">
        <v>0.5</v>
      </c>
      <c r="E13" t="s">
        <v>86</v>
      </c>
      <c r="F13" t="s">
        <v>17</v>
      </c>
      <c r="G13" t="s">
        <v>24</v>
      </c>
      <c r="H13" t="s">
        <v>25</v>
      </c>
      <c r="I13" t="s">
        <v>22</v>
      </c>
      <c r="J13" t="s">
        <v>23</v>
      </c>
      <c r="K13" t="s">
        <v>17</v>
      </c>
      <c r="L13" t="s">
        <v>24</v>
      </c>
      <c r="M13" t="s">
        <v>25</v>
      </c>
      <c r="N13" t="s">
        <v>22</v>
      </c>
      <c r="O13" t="s">
        <v>23</v>
      </c>
    </row>
    <row r="14" spans="1:15">
      <c r="A14" t="s">
        <v>85</v>
      </c>
      <c r="B14">
        <v>1</v>
      </c>
      <c r="C14">
        <v>1</v>
      </c>
      <c r="D14">
        <v>0.4</v>
      </c>
      <c r="E14" t="s">
        <v>86</v>
      </c>
      <c r="F14" t="s">
        <v>18</v>
      </c>
      <c r="G14" t="s">
        <v>19</v>
      </c>
      <c r="H14" t="s">
        <v>24</v>
      </c>
      <c r="I14" t="s">
        <v>22</v>
      </c>
      <c r="J14" t="s">
        <v>26</v>
      </c>
      <c r="K14" t="s">
        <v>18</v>
      </c>
      <c r="L14" t="s">
        <v>19</v>
      </c>
      <c r="M14" t="s">
        <v>24</v>
      </c>
      <c r="N14" t="s">
        <v>22</v>
      </c>
      <c r="O14" t="s">
        <v>26</v>
      </c>
    </row>
    <row r="15" spans="1:15">
      <c r="A15" t="s">
        <v>85</v>
      </c>
      <c r="B15">
        <v>1</v>
      </c>
      <c r="C15">
        <v>1</v>
      </c>
      <c r="D15">
        <v>0.3</v>
      </c>
      <c r="E15" t="s">
        <v>86</v>
      </c>
      <c r="F15" t="s">
        <v>22</v>
      </c>
      <c r="G15" t="s">
        <v>25</v>
      </c>
      <c r="H15" t="s">
        <v>17</v>
      </c>
      <c r="I15" t="s">
        <v>18</v>
      </c>
      <c r="J15" t="s">
        <v>21</v>
      </c>
      <c r="K15" t="s">
        <v>22</v>
      </c>
      <c r="L15" t="s">
        <v>25</v>
      </c>
      <c r="M15" t="s">
        <v>17</v>
      </c>
      <c r="N15" t="s">
        <v>18</v>
      </c>
      <c r="O15" t="s">
        <v>21</v>
      </c>
    </row>
    <row r="16" spans="1:15">
      <c r="A16" t="s">
        <v>85</v>
      </c>
      <c r="B16">
        <v>1</v>
      </c>
      <c r="C16">
        <v>1</v>
      </c>
      <c r="D16">
        <v>0.2</v>
      </c>
      <c r="E16" t="s">
        <v>86</v>
      </c>
      <c r="F16" t="s">
        <v>20</v>
      </c>
      <c r="G16" t="s">
        <v>26</v>
      </c>
      <c r="H16" t="s">
        <v>24</v>
      </c>
      <c r="I16" t="s">
        <v>22</v>
      </c>
      <c r="J16" t="s">
        <v>23</v>
      </c>
      <c r="K16" t="s">
        <v>20</v>
      </c>
      <c r="L16" t="s">
        <v>26</v>
      </c>
      <c r="M16" t="s">
        <v>24</v>
      </c>
      <c r="N16" t="s">
        <v>22</v>
      </c>
      <c r="O16" t="s">
        <v>23</v>
      </c>
    </row>
    <row r="17" spans="1:15">
      <c r="A17" t="s">
        <v>85</v>
      </c>
      <c r="B17">
        <v>1</v>
      </c>
      <c r="C17">
        <v>1</v>
      </c>
      <c r="D17">
        <v>0.1</v>
      </c>
      <c r="E17" t="s">
        <v>86</v>
      </c>
      <c r="F17" t="s">
        <v>20</v>
      </c>
      <c r="G17" t="s">
        <v>21</v>
      </c>
      <c r="H17" t="s">
        <v>18</v>
      </c>
      <c r="I17" t="s">
        <v>25</v>
      </c>
      <c r="J17" t="s">
        <v>26</v>
      </c>
      <c r="K17" t="s">
        <v>20</v>
      </c>
      <c r="L17" t="s">
        <v>21</v>
      </c>
      <c r="M17" t="s">
        <v>18</v>
      </c>
      <c r="N17" t="s">
        <v>25</v>
      </c>
      <c r="O17" t="s">
        <v>26</v>
      </c>
    </row>
    <row r="18" spans="1:15">
      <c r="A18" t="s">
        <v>85</v>
      </c>
      <c r="B18">
        <v>1</v>
      </c>
      <c r="C18">
        <v>1</v>
      </c>
      <c r="D18">
        <v>0</v>
      </c>
      <c r="E18" t="s">
        <v>86</v>
      </c>
      <c r="F18" t="s">
        <v>19</v>
      </c>
      <c r="G18" t="s">
        <v>26</v>
      </c>
      <c r="H18" t="s">
        <v>25</v>
      </c>
      <c r="I18" t="s">
        <v>18</v>
      </c>
      <c r="J18" t="s">
        <v>17</v>
      </c>
    </row>
    <row r="19" spans="1:15">
      <c r="A19" t="s">
        <v>85</v>
      </c>
      <c r="B19">
        <v>1</v>
      </c>
      <c r="C19">
        <v>1</v>
      </c>
      <c r="D19">
        <v>-9.9999999999999895E-2</v>
      </c>
      <c r="E19" t="s">
        <v>86</v>
      </c>
      <c r="F19" t="s">
        <v>26</v>
      </c>
      <c r="G19" t="s">
        <v>24</v>
      </c>
      <c r="H19" t="s">
        <v>20</v>
      </c>
      <c r="I19" t="s">
        <v>22</v>
      </c>
      <c r="J19" t="s">
        <v>19</v>
      </c>
    </row>
    <row r="20" spans="1:15">
      <c r="A20" t="s">
        <v>85</v>
      </c>
      <c r="B20">
        <v>1</v>
      </c>
      <c r="C20">
        <v>1</v>
      </c>
      <c r="D20">
        <v>-0.2</v>
      </c>
      <c r="E20" t="s">
        <v>86</v>
      </c>
      <c r="F20" t="s">
        <v>26</v>
      </c>
      <c r="G20" t="s">
        <v>20</v>
      </c>
      <c r="H20" t="s">
        <v>23</v>
      </c>
      <c r="I20" t="s">
        <v>19</v>
      </c>
      <c r="J20" t="s">
        <v>25</v>
      </c>
    </row>
    <row r="21" spans="1:15">
      <c r="A21" t="s">
        <v>85</v>
      </c>
      <c r="B21">
        <v>1</v>
      </c>
      <c r="C21">
        <v>1</v>
      </c>
      <c r="D21">
        <v>-0.3</v>
      </c>
      <c r="E21" t="s">
        <v>86</v>
      </c>
      <c r="F21" t="s">
        <v>20</v>
      </c>
      <c r="G21" t="s">
        <v>23</v>
      </c>
      <c r="H21" t="s">
        <v>24</v>
      </c>
      <c r="I21" t="s">
        <v>22</v>
      </c>
      <c r="J21" t="s">
        <v>25</v>
      </c>
    </row>
    <row r="22" spans="1:15">
      <c r="A22" t="s">
        <v>87</v>
      </c>
      <c r="B22">
        <v>0.25</v>
      </c>
      <c r="C22">
        <v>1</v>
      </c>
      <c r="D22">
        <v>1.6</v>
      </c>
      <c r="E22" t="s">
        <v>86</v>
      </c>
      <c r="F22" t="s">
        <v>23</v>
      </c>
      <c r="G22" t="s">
        <v>17</v>
      </c>
      <c r="H22" t="s">
        <v>18</v>
      </c>
      <c r="I22" t="s">
        <v>19</v>
      </c>
      <c r="J22" t="s">
        <v>26</v>
      </c>
      <c r="K22" t="s">
        <v>23</v>
      </c>
      <c r="L22" t="s">
        <v>17</v>
      </c>
      <c r="M22" t="s">
        <v>18</v>
      </c>
      <c r="N22" t="s">
        <v>19</v>
      </c>
      <c r="O22" t="s">
        <v>26</v>
      </c>
    </row>
    <row r="23" spans="1:15">
      <c r="A23" t="s">
        <v>87</v>
      </c>
      <c r="B23">
        <v>0.25</v>
      </c>
      <c r="C23">
        <v>1</v>
      </c>
      <c r="D23">
        <v>1.5</v>
      </c>
      <c r="E23" t="s">
        <v>86</v>
      </c>
      <c r="F23" t="s">
        <v>23</v>
      </c>
      <c r="G23" t="s">
        <v>18</v>
      </c>
      <c r="H23" t="s">
        <v>21</v>
      </c>
      <c r="I23" t="s">
        <v>24</v>
      </c>
      <c r="J23" t="s">
        <v>22</v>
      </c>
      <c r="K23" t="s">
        <v>23</v>
      </c>
      <c r="L23" t="s">
        <v>18</v>
      </c>
      <c r="M23" t="s">
        <v>21</v>
      </c>
      <c r="N23" t="s">
        <v>24</v>
      </c>
      <c r="O23" t="s">
        <v>22</v>
      </c>
    </row>
    <row r="24" spans="1:15">
      <c r="A24" t="s">
        <v>87</v>
      </c>
      <c r="B24">
        <v>0.25</v>
      </c>
      <c r="C24">
        <v>1</v>
      </c>
      <c r="D24">
        <v>1.4</v>
      </c>
      <c r="E24" t="s">
        <v>86</v>
      </c>
      <c r="F24" t="s">
        <v>17</v>
      </c>
      <c r="G24" t="s">
        <v>24</v>
      </c>
      <c r="H24" t="s">
        <v>18</v>
      </c>
      <c r="I24" t="s">
        <v>20</v>
      </c>
      <c r="J24" t="s">
        <v>25</v>
      </c>
      <c r="K24" t="s">
        <v>17</v>
      </c>
      <c r="L24" t="s">
        <v>24</v>
      </c>
      <c r="M24" t="s">
        <v>18</v>
      </c>
      <c r="N24" t="s">
        <v>20</v>
      </c>
      <c r="O24" t="s">
        <v>25</v>
      </c>
    </row>
    <row r="25" spans="1:15">
      <c r="A25" t="s">
        <v>87</v>
      </c>
      <c r="B25">
        <v>0.25</v>
      </c>
      <c r="C25">
        <v>1</v>
      </c>
      <c r="D25">
        <v>1.3</v>
      </c>
      <c r="E25" t="s">
        <v>86</v>
      </c>
      <c r="F25" t="s">
        <v>17</v>
      </c>
      <c r="G25" t="s">
        <v>23</v>
      </c>
      <c r="H25" t="s">
        <v>22</v>
      </c>
      <c r="I25" t="s">
        <v>26</v>
      </c>
      <c r="J25" t="s">
        <v>20</v>
      </c>
      <c r="K25" t="s">
        <v>17</v>
      </c>
      <c r="L25" t="s">
        <v>23</v>
      </c>
      <c r="M25" t="s">
        <v>22</v>
      </c>
      <c r="N25" t="s">
        <v>26</v>
      </c>
      <c r="O25" t="s">
        <v>20</v>
      </c>
    </row>
    <row r="26" spans="1:15">
      <c r="A26" t="s">
        <v>87</v>
      </c>
      <c r="B26">
        <v>0.25</v>
      </c>
      <c r="C26">
        <v>1</v>
      </c>
      <c r="D26">
        <v>1.2</v>
      </c>
      <c r="E26" t="s">
        <v>86</v>
      </c>
      <c r="F26" t="s">
        <v>23</v>
      </c>
      <c r="G26" t="s">
        <v>20</v>
      </c>
      <c r="H26" t="s">
        <v>17</v>
      </c>
      <c r="I26" t="s">
        <v>19</v>
      </c>
      <c r="J26" t="s">
        <v>26</v>
      </c>
      <c r="K26" t="s">
        <v>23</v>
      </c>
      <c r="L26" t="s">
        <v>20</v>
      </c>
      <c r="M26" t="s">
        <v>17</v>
      </c>
      <c r="N26" t="s">
        <v>19</v>
      </c>
      <c r="O26" t="s">
        <v>26</v>
      </c>
    </row>
    <row r="27" spans="1:15">
      <c r="A27" t="s">
        <v>87</v>
      </c>
      <c r="B27">
        <v>0.25</v>
      </c>
      <c r="C27">
        <v>1</v>
      </c>
      <c r="D27">
        <v>1.1000000000000001</v>
      </c>
      <c r="E27" t="s">
        <v>86</v>
      </c>
      <c r="F27" t="s">
        <v>22</v>
      </c>
      <c r="G27" t="s">
        <v>17</v>
      </c>
      <c r="H27" t="s">
        <v>23</v>
      </c>
      <c r="I27" t="s">
        <v>20</v>
      </c>
      <c r="J27" t="s">
        <v>26</v>
      </c>
      <c r="K27" t="s">
        <v>22</v>
      </c>
      <c r="L27" t="s">
        <v>17</v>
      </c>
      <c r="M27" t="s">
        <v>23</v>
      </c>
      <c r="N27" t="s">
        <v>20</v>
      </c>
      <c r="O27" t="s">
        <v>26</v>
      </c>
    </row>
    <row r="28" spans="1:15">
      <c r="A28" t="s">
        <v>87</v>
      </c>
      <c r="B28">
        <v>0.25</v>
      </c>
      <c r="C28">
        <v>1</v>
      </c>
      <c r="D28">
        <v>0.999999999999999</v>
      </c>
      <c r="E28" t="s">
        <v>86</v>
      </c>
      <c r="F28" t="s">
        <v>18</v>
      </c>
      <c r="G28" t="s">
        <v>26</v>
      </c>
      <c r="H28" t="s">
        <v>25</v>
      </c>
      <c r="I28" t="s">
        <v>20</v>
      </c>
      <c r="J28" t="s">
        <v>19</v>
      </c>
      <c r="K28" t="s">
        <v>18</v>
      </c>
      <c r="L28" t="s">
        <v>26</v>
      </c>
      <c r="M28" t="s">
        <v>25</v>
      </c>
      <c r="N28" t="s">
        <v>20</v>
      </c>
      <c r="O28" t="s">
        <v>19</v>
      </c>
    </row>
    <row r="29" spans="1:15">
      <c r="A29" t="s">
        <v>87</v>
      </c>
      <c r="B29">
        <v>0.25</v>
      </c>
      <c r="C29">
        <v>1</v>
      </c>
      <c r="D29">
        <v>0.89999999999999902</v>
      </c>
      <c r="E29" t="s">
        <v>86</v>
      </c>
      <c r="F29" t="s">
        <v>24</v>
      </c>
      <c r="G29" t="s">
        <v>17</v>
      </c>
      <c r="H29" t="s">
        <v>19</v>
      </c>
      <c r="I29" t="s">
        <v>20</v>
      </c>
      <c r="J29" t="s">
        <v>21</v>
      </c>
      <c r="K29" t="s">
        <v>24</v>
      </c>
      <c r="L29" t="s">
        <v>17</v>
      </c>
      <c r="M29" t="s">
        <v>19</v>
      </c>
      <c r="N29" t="s">
        <v>20</v>
      </c>
      <c r="O29" t="s">
        <v>21</v>
      </c>
    </row>
    <row r="30" spans="1:15">
      <c r="A30" t="s">
        <v>87</v>
      </c>
      <c r="B30">
        <v>0.25</v>
      </c>
      <c r="C30">
        <v>1</v>
      </c>
      <c r="D30">
        <v>0.79999999999999905</v>
      </c>
      <c r="E30" t="s">
        <v>86</v>
      </c>
      <c r="F30" t="s">
        <v>22</v>
      </c>
      <c r="G30" t="s">
        <v>20</v>
      </c>
      <c r="H30" t="s">
        <v>24</v>
      </c>
      <c r="I30" t="s">
        <v>21</v>
      </c>
      <c r="J30" t="s">
        <v>17</v>
      </c>
      <c r="K30" t="s">
        <v>22</v>
      </c>
      <c r="L30" t="s">
        <v>20</v>
      </c>
      <c r="M30" t="s">
        <v>24</v>
      </c>
      <c r="N30" t="s">
        <v>21</v>
      </c>
      <c r="O30" t="s">
        <v>17</v>
      </c>
    </row>
    <row r="31" spans="1:15">
      <c r="A31" t="s">
        <v>87</v>
      </c>
      <c r="B31">
        <v>0.25</v>
      </c>
      <c r="C31">
        <v>1</v>
      </c>
      <c r="D31">
        <v>0.69999999999999896</v>
      </c>
      <c r="E31" t="s">
        <v>86</v>
      </c>
      <c r="F31" t="s">
        <v>22</v>
      </c>
      <c r="G31" t="s">
        <v>24</v>
      </c>
      <c r="H31" t="s">
        <v>18</v>
      </c>
      <c r="I31" t="s">
        <v>20</v>
      </c>
      <c r="J31" t="s">
        <v>25</v>
      </c>
      <c r="K31" t="s">
        <v>22</v>
      </c>
      <c r="L31" t="s">
        <v>24</v>
      </c>
      <c r="M31" t="s">
        <v>18</v>
      </c>
      <c r="N31" t="s">
        <v>20</v>
      </c>
      <c r="O31" t="s">
        <v>25</v>
      </c>
    </row>
    <row r="32" spans="1:15">
      <c r="A32" t="s">
        <v>87</v>
      </c>
      <c r="B32">
        <v>0.25</v>
      </c>
      <c r="C32">
        <v>1</v>
      </c>
      <c r="D32">
        <v>0.6</v>
      </c>
      <c r="E32" t="s">
        <v>86</v>
      </c>
      <c r="F32" t="s">
        <v>21</v>
      </c>
      <c r="G32" t="s">
        <v>26</v>
      </c>
      <c r="H32" t="s">
        <v>25</v>
      </c>
      <c r="I32" t="s">
        <v>17</v>
      </c>
      <c r="J32" t="s">
        <v>23</v>
      </c>
      <c r="K32" t="s">
        <v>21</v>
      </c>
      <c r="L32" t="s">
        <v>26</v>
      </c>
      <c r="M32" t="s">
        <v>25</v>
      </c>
      <c r="N32" t="s">
        <v>17</v>
      </c>
      <c r="O32" t="s">
        <v>23</v>
      </c>
    </row>
    <row r="33" spans="1:15">
      <c r="A33" t="s">
        <v>87</v>
      </c>
      <c r="B33">
        <v>0.25</v>
      </c>
      <c r="C33">
        <v>1</v>
      </c>
      <c r="D33">
        <v>0.5</v>
      </c>
      <c r="E33" t="s">
        <v>86</v>
      </c>
      <c r="F33" t="s">
        <v>17</v>
      </c>
      <c r="G33" t="s">
        <v>18</v>
      </c>
      <c r="H33" t="s">
        <v>24</v>
      </c>
      <c r="I33" t="s">
        <v>20</v>
      </c>
      <c r="J33" t="s">
        <v>25</v>
      </c>
      <c r="K33" t="s">
        <v>17</v>
      </c>
      <c r="L33" t="s">
        <v>18</v>
      </c>
      <c r="M33" t="s">
        <v>24</v>
      </c>
      <c r="N33" t="s">
        <v>20</v>
      </c>
      <c r="O33" t="s">
        <v>25</v>
      </c>
    </row>
    <row r="34" spans="1:15">
      <c r="A34" t="s">
        <v>87</v>
      </c>
      <c r="B34">
        <v>0.25</v>
      </c>
      <c r="C34">
        <v>1</v>
      </c>
      <c r="D34">
        <v>0.4</v>
      </c>
      <c r="E34" t="s">
        <v>86</v>
      </c>
      <c r="F34" t="s">
        <v>20</v>
      </c>
      <c r="G34" t="s">
        <v>22</v>
      </c>
      <c r="H34" t="s">
        <v>21</v>
      </c>
      <c r="I34" t="s">
        <v>19</v>
      </c>
      <c r="J34" t="s">
        <v>18</v>
      </c>
      <c r="L34" t="s">
        <v>22</v>
      </c>
      <c r="M34" t="s">
        <v>21</v>
      </c>
      <c r="N34" t="s">
        <v>19</v>
      </c>
      <c r="O34" t="s">
        <v>18</v>
      </c>
    </row>
    <row r="35" spans="1:15">
      <c r="A35" t="s">
        <v>87</v>
      </c>
      <c r="B35">
        <v>0.25</v>
      </c>
      <c r="C35">
        <v>1</v>
      </c>
      <c r="D35">
        <v>0.3</v>
      </c>
      <c r="E35" t="s">
        <v>86</v>
      </c>
      <c r="F35" t="s">
        <v>26</v>
      </c>
      <c r="G35" t="s">
        <v>17</v>
      </c>
      <c r="H35" t="s">
        <v>23</v>
      </c>
      <c r="I35" t="s">
        <v>19</v>
      </c>
      <c r="J35" t="s">
        <v>21</v>
      </c>
    </row>
    <row r="36" spans="1:15">
      <c r="A36" t="s">
        <v>87</v>
      </c>
      <c r="B36">
        <v>0.25</v>
      </c>
      <c r="C36">
        <v>1</v>
      </c>
      <c r="D36">
        <v>0.2</v>
      </c>
      <c r="E36" t="s">
        <v>86</v>
      </c>
      <c r="F36" t="s">
        <v>20</v>
      </c>
      <c r="G36" t="s">
        <v>18</v>
      </c>
      <c r="H36" t="s">
        <v>26</v>
      </c>
      <c r="I36" t="s">
        <v>23</v>
      </c>
      <c r="J36" t="s">
        <v>21</v>
      </c>
    </row>
    <row r="37" spans="1:15">
      <c r="A37" t="s">
        <v>87</v>
      </c>
      <c r="B37">
        <v>0.25</v>
      </c>
      <c r="C37">
        <v>1</v>
      </c>
      <c r="D37">
        <v>0.1</v>
      </c>
      <c r="E37" t="s">
        <v>86</v>
      </c>
      <c r="F37" t="s">
        <v>21</v>
      </c>
      <c r="G37" t="s">
        <v>18</v>
      </c>
      <c r="H37" t="s">
        <v>19</v>
      </c>
      <c r="I37" t="s">
        <v>26</v>
      </c>
      <c r="J37" t="s">
        <v>17</v>
      </c>
    </row>
    <row r="38" spans="1:15">
      <c r="A38" t="s">
        <v>87</v>
      </c>
      <c r="B38">
        <v>0.25</v>
      </c>
      <c r="C38">
        <v>1</v>
      </c>
      <c r="D38">
        <v>0</v>
      </c>
      <c r="E38" t="s">
        <v>86</v>
      </c>
      <c r="F38" t="s">
        <v>18</v>
      </c>
      <c r="G38" t="s">
        <v>21</v>
      </c>
      <c r="H38" t="s">
        <v>22</v>
      </c>
      <c r="I38" t="s">
        <v>20</v>
      </c>
      <c r="J38" t="s">
        <v>25</v>
      </c>
    </row>
    <row r="39" spans="1:15">
      <c r="A39" t="s">
        <v>87</v>
      </c>
      <c r="B39">
        <v>0.25</v>
      </c>
      <c r="C39">
        <v>1</v>
      </c>
      <c r="D39">
        <v>-9.9999999999999895E-2</v>
      </c>
      <c r="E39" t="s">
        <v>86</v>
      </c>
      <c r="F39" t="s">
        <v>22</v>
      </c>
      <c r="G39" t="s">
        <v>24</v>
      </c>
      <c r="H39" t="s">
        <v>23</v>
      </c>
      <c r="I39" t="s">
        <v>20</v>
      </c>
      <c r="J39" t="s">
        <v>19</v>
      </c>
    </row>
    <row r="40" spans="1:15">
      <c r="A40" t="s">
        <v>87</v>
      </c>
      <c r="B40">
        <v>0.25</v>
      </c>
      <c r="C40">
        <v>1</v>
      </c>
      <c r="D40">
        <v>-0.2</v>
      </c>
      <c r="E40" t="s">
        <v>86</v>
      </c>
      <c r="F40" t="s">
        <v>26</v>
      </c>
      <c r="G40" t="s">
        <v>24</v>
      </c>
      <c r="H40" t="s">
        <v>25</v>
      </c>
      <c r="I40" t="s">
        <v>20</v>
      </c>
      <c r="J40" t="s">
        <v>22</v>
      </c>
    </row>
    <row r="41" spans="1:15">
      <c r="A41" t="s">
        <v>87</v>
      </c>
      <c r="B41">
        <v>0.25</v>
      </c>
      <c r="C41">
        <v>1</v>
      </c>
      <c r="D41">
        <v>-0.3</v>
      </c>
      <c r="E41" t="s">
        <v>86</v>
      </c>
    </row>
    <row r="42" spans="1:15">
      <c r="A42" t="s">
        <v>88</v>
      </c>
      <c r="B42">
        <v>0.125</v>
      </c>
      <c r="C42">
        <v>1</v>
      </c>
      <c r="D42">
        <v>1.6</v>
      </c>
      <c r="E42" t="s">
        <v>86</v>
      </c>
      <c r="F42" t="s">
        <v>21</v>
      </c>
      <c r="G42" t="s">
        <v>24</v>
      </c>
      <c r="H42" t="s">
        <v>25</v>
      </c>
      <c r="I42" t="s">
        <v>26</v>
      </c>
      <c r="J42" t="s">
        <v>18</v>
      </c>
      <c r="K42" t="s">
        <v>21</v>
      </c>
      <c r="L42" t="s">
        <v>24</v>
      </c>
      <c r="M42" t="s">
        <v>25</v>
      </c>
      <c r="N42" t="s">
        <v>26</v>
      </c>
      <c r="O42" t="s">
        <v>18</v>
      </c>
    </row>
    <row r="43" spans="1:15">
      <c r="A43" t="s">
        <v>88</v>
      </c>
      <c r="B43">
        <v>0.125</v>
      </c>
      <c r="C43">
        <v>1</v>
      </c>
      <c r="D43">
        <v>1.5</v>
      </c>
      <c r="E43" t="s">
        <v>86</v>
      </c>
      <c r="F43" t="s">
        <v>18</v>
      </c>
      <c r="G43" t="s">
        <v>23</v>
      </c>
      <c r="H43" t="s">
        <v>20</v>
      </c>
      <c r="I43" t="s">
        <v>17</v>
      </c>
      <c r="J43" t="s">
        <v>26</v>
      </c>
      <c r="K43" t="s">
        <v>18</v>
      </c>
      <c r="L43" t="s">
        <v>23</v>
      </c>
      <c r="M43" t="s">
        <v>20</v>
      </c>
      <c r="N43" t="s">
        <v>17</v>
      </c>
      <c r="O43" t="s">
        <v>26</v>
      </c>
    </row>
    <row r="44" spans="1:15">
      <c r="A44" t="s">
        <v>88</v>
      </c>
      <c r="B44">
        <v>0.125</v>
      </c>
      <c r="C44">
        <v>1</v>
      </c>
      <c r="D44">
        <v>1.4</v>
      </c>
      <c r="E44" t="s">
        <v>86</v>
      </c>
      <c r="F44" t="s">
        <v>20</v>
      </c>
      <c r="G44" t="s">
        <v>23</v>
      </c>
      <c r="H44" t="s">
        <v>24</v>
      </c>
      <c r="I44" t="s">
        <v>18</v>
      </c>
      <c r="J44" t="s">
        <v>19</v>
      </c>
      <c r="K44" t="s">
        <v>20</v>
      </c>
      <c r="L44" t="s">
        <v>23</v>
      </c>
      <c r="M44" t="s">
        <v>24</v>
      </c>
      <c r="N44" t="s">
        <v>18</v>
      </c>
      <c r="O44" t="s">
        <v>19</v>
      </c>
    </row>
    <row r="45" spans="1:15">
      <c r="A45" t="s">
        <v>88</v>
      </c>
      <c r="B45">
        <v>0.125</v>
      </c>
      <c r="C45">
        <v>1</v>
      </c>
      <c r="D45">
        <v>1.3</v>
      </c>
      <c r="E45" t="s">
        <v>86</v>
      </c>
      <c r="F45" t="s">
        <v>26</v>
      </c>
      <c r="G45" t="s">
        <v>18</v>
      </c>
      <c r="H45" t="s">
        <v>22</v>
      </c>
      <c r="I45" t="s">
        <v>17</v>
      </c>
      <c r="J45" t="s">
        <v>19</v>
      </c>
      <c r="K45" t="s">
        <v>26</v>
      </c>
      <c r="L45" t="s">
        <v>18</v>
      </c>
      <c r="M45" t="s">
        <v>22</v>
      </c>
      <c r="N45" t="s">
        <v>17</v>
      </c>
      <c r="O45" t="s">
        <v>19</v>
      </c>
    </row>
    <row r="46" spans="1:15">
      <c r="A46" t="s">
        <v>88</v>
      </c>
      <c r="B46">
        <v>0.125</v>
      </c>
      <c r="C46">
        <v>1</v>
      </c>
      <c r="D46">
        <v>1.2</v>
      </c>
      <c r="E46" t="s">
        <v>86</v>
      </c>
      <c r="F46" t="s">
        <v>19</v>
      </c>
      <c r="G46" t="s">
        <v>25</v>
      </c>
      <c r="H46" t="s">
        <v>20</v>
      </c>
      <c r="I46" t="s">
        <v>26</v>
      </c>
      <c r="J46" t="s">
        <v>22</v>
      </c>
      <c r="K46" t="s">
        <v>19</v>
      </c>
      <c r="L46" t="s">
        <v>25</v>
      </c>
      <c r="M46" t="s">
        <v>20</v>
      </c>
      <c r="N46" t="s">
        <v>26</v>
      </c>
      <c r="O46" t="s">
        <v>22</v>
      </c>
    </row>
    <row r="47" spans="1:15">
      <c r="A47" t="s">
        <v>88</v>
      </c>
      <c r="B47">
        <v>0.125</v>
      </c>
      <c r="C47">
        <v>1</v>
      </c>
      <c r="D47">
        <v>1.1000000000000001</v>
      </c>
      <c r="E47" t="s">
        <v>86</v>
      </c>
      <c r="F47" t="s">
        <v>24</v>
      </c>
      <c r="G47" t="s">
        <v>19</v>
      </c>
      <c r="H47" t="s">
        <v>25</v>
      </c>
      <c r="I47" t="s">
        <v>23</v>
      </c>
      <c r="J47" t="s">
        <v>17</v>
      </c>
      <c r="K47" t="s">
        <v>24</v>
      </c>
      <c r="L47" t="s">
        <v>19</v>
      </c>
      <c r="M47" t="s">
        <v>25</v>
      </c>
      <c r="N47" t="s">
        <v>23</v>
      </c>
      <c r="O47" t="s">
        <v>17</v>
      </c>
    </row>
    <row r="48" spans="1:15">
      <c r="A48" t="s">
        <v>88</v>
      </c>
      <c r="B48">
        <v>0.125</v>
      </c>
      <c r="C48">
        <v>1</v>
      </c>
      <c r="D48">
        <v>0.999999999999999</v>
      </c>
      <c r="E48" t="s">
        <v>86</v>
      </c>
      <c r="F48" t="s">
        <v>20</v>
      </c>
      <c r="G48" t="s">
        <v>26</v>
      </c>
      <c r="H48" t="s">
        <v>18</v>
      </c>
      <c r="I48" t="s">
        <v>25</v>
      </c>
      <c r="J48" t="s">
        <v>19</v>
      </c>
      <c r="K48" t="s">
        <v>20</v>
      </c>
      <c r="L48" t="s">
        <v>26</v>
      </c>
      <c r="M48" t="s">
        <v>18</v>
      </c>
      <c r="N48" t="s">
        <v>25</v>
      </c>
      <c r="O48" t="s">
        <v>19</v>
      </c>
    </row>
    <row r="49" spans="1:15">
      <c r="A49" t="s">
        <v>88</v>
      </c>
      <c r="B49">
        <v>0.125</v>
      </c>
      <c r="C49">
        <v>1</v>
      </c>
      <c r="D49">
        <v>0.89999999999999902</v>
      </c>
      <c r="E49" t="s">
        <v>86</v>
      </c>
      <c r="F49" t="s">
        <v>26</v>
      </c>
      <c r="G49" t="s">
        <v>18</v>
      </c>
      <c r="H49" t="s">
        <v>23</v>
      </c>
      <c r="I49" t="s">
        <v>20</v>
      </c>
      <c r="J49" t="s">
        <v>19</v>
      </c>
      <c r="K49" t="s">
        <v>26</v>
      </c>
      <c r="L49" t="s">
        <v>18</v>
      </c>
      <c r="M49" t="s">
        <v>23</v>
      </c>
      <c r="N49" t="s">
        <v>20</v>
      </c>
      <c r="O49" t="s">
        <v>19</v>
      </c>
    </row>
    <row r="50" spans="1:15">
      <c r="A50" t="s">
        <v>88</v>
      </c>
      <c r="B50">
        <v>0.125</v>
      </c>
      <c r="C50">
        <v>1</v>
      </c>
      <c r="D50">
        <v>0.79999999999999905</v>
      </c>
      <c r="E50" t="s">
        <v>86</v>
      </c>
      <c r="F50" t="s">
        <v>21</v>
      </c>
      <c r="G50" t="s">
        <v>22</v>
      </c>
      <c r="H50" t="s">
        <v>24</v>
      </c>
      <c r="I50" t="s">
        <v>23</v>
      </c>
      <c r="J50" t="s">
        <v>25</v>
      </c>
      <c r="K50" t="s">
        <v>21</v>
      </c>
      <c r="L50" t="s">
        <v>22</v>
      </c>
      <c r="M50" t="s">
        <v>24</v>
      </c>
      <c r="N50" t="s">
        <v>23</v>
      </c>
      <c r="O50" t="s">
        <v>25</v>
      </c>
    </row>
    <row r="51" spans="1:15">
      <c r="A51" t="s">
        <v>88</v>
      </c>
      <c r="B51">
        <v>0.125</v>
      </c>
      <c r="C51">
        <v>1</v>
      </c>
      <c r="D51">
        <v>0.69999999999999896</v>
      </c>
      <c r="E51" t="s">
        <v>86</v>
      </c>
      <c r="F51" t="s">
        <v>23</v>
      </c>
      <c r="G51" t="s">
        <v>24</v>
      </c>
      <c r="H51" t="s">
        <v>26</v>
      </c>
      <c r="I51" t="s">
        <v>20</v>
      </c>
      <c r="J51" t="s">
        <v>17</v>
      </c>
      <c r="K51" t="s">
        <v>23</v>
      </c>
      <c r="L51" t="s">
        <v>24</v>
      </c>
      <c r="M51" t="s">
        <v>26</v>
      </c>
      <c r="N51" t="s">
        <v>20</v>
      </c>
      <c r="O51" t="s">
        <v>17</v>
      </c>
    </row>
    <row r="52" spans="1:15">
      <c r="A52" t="s">
        <v>88</v>
      </c>
      <c r="B52">
        <v>0.125</v>
      </c>
      <c r="C52">
        <v>1</v>
      </c>
      <c r="D52">
        <v>0.6</v>
      </c>
      <c r="E52" t="s">
        <v>86</v>
      </c>
      <c r="F52" t="s">
        <v>26</v>
      </c>
      <c r="G52" t="s">
        <v>19</v>
      </c>
      <c r="H52" t="s">
        <v>22</v>
      </c>
      <c r="I52" t="s">
        <v>23</v>
      </c>
      <c r="J52" t="s">
        <v>18</v>
      </c>
      <c r="K52" t="s">
        <v>26</v>
      </c>
      <c r="L52" t="s">
        <v>19</v>
      </c>
      <c r="M52" t="s">
        <v>22</v>
      </c>
    </row>
    <row r="53" spans="1:15">
      <c r="A53" t="s">
        <v>88</v>
      </c>
      <c r="B53">
        <v>0.125</v>
      </c>
      <c r="C53">
        <v>1</v>
      </c>
      <c r="D53">
        <v>0.5</v>
      </c>
      <c r="E53" t="s">
        <v>86</v>
      </c>
      <c r="F53" t="s">
        <v>18</v>
      </c>
      <c r="G53" t="s">
        <v>19</v>
      </c>
      <c r="H53" t="s">
        <v>24</v>
      </c>
      <c r="I53" t="s">
        <v>23</v>
      </c>
      <c r="J53" t="s">
        <v>20</v>
      </c>
    </row>
    <row r="54" spans="1:15">
      <c r="A54" t="s">
        <v>88</v>
      </c>
      <c r="B54">
        <v>0.125</v>
      </c>
      <c r="C54">
        <v>1</v>
      </c>
      <c r="D54">
        <v>0.4</v>
      </c>
      <c r="E54" t="s">
        <v>86</v>
      </c>
      <c r="F54" t="s">
        <v>20</v>
      </c>
      <c r="G54" t="s">
        <v>23</v>
      </c>
      <c r="H54" t="s">
        <v>25</v>
      </c>
      <c r="I54" t="s">
        <v>22</v>
      </c>
      <c r="J54" t="s">
        <v>18</v>
      </c>
    </row>
    <row r="55" spans="1:15">
      <c r="A55" t="s">
        <v>88</v>
      </c>
      <c r="B55">
        <v>0.125</v>
      </c>
      <c r="C55">
        <v>1</v>
      </c>
      <c r="D55">
        <v>0.3</v>
      </c>
      <c r="E55" t="s">
        <v>86</v>
      </c>
      <c r="F55" t="s">
        <v>24</v>
      </c>
      <c r="G55" t="s">
        <v>22</v>
      </c>
      <c r="H55" t="s">
        <v>19</v>
      </c>
      <c r="I55" t="s">
        <v>20</v>
      </c>
      <c r="J55" t="s">
        <v>25</v>
      </c>
    </row>
    <row r="56" spans="1:15">
      <c r="A56" t="s">
        <v>88</v>
      </c>
      <c r="B56">
        <v>0.125</v>
      </c>
      <c r="C56">
        <v>1</v>
      </c>
      <c r="D56">
        <v>0.2</v>
      </c>
      <c r="E56" t="s">
        <v>86</v>
      </c>
      <c r="F56" t="s">
        <v>24</v>
      </c>
      <c r="G56" t="s">
        <v>20</v>
      </c>
      <c r="H56" t="s">
        <v>26</v>
      </c>
      <c r="I56" t="s">
        <v>21</v>
      </c>
      <c r="J56" t="s">
        <v>23</v>
      </c>
    </row>
    <row r="57" spans="1:15">
      <c r="A57" t="s">
        <v>88</v>
      </c>
      <c r="B57">
        <v>0.125</v>
      </c>
      <c r="C57">
        <v>1</v>
      </c>
      <c r="D57">
        <v>0.1</v>
      </c>
      <c r="E57" t="s">
        <v>86</v>
      </c>
      <c r="F57" t="s">
        <v>22</v>
      </c>
      <c r="G57" t="s">
        <v>20</v>
      </c>
      <c r="H57" t="s">
        <v>19</v>
      </c>
      <c r="I57" t="s">
        <v>24</v>
      </c>
      <c r="J57" t="s">
        <v>26</v>
      </c>
    </row>
    <row r="58" spans="1:15">
      <c r="A58" t="s">
        <v>88</v>
      </c>
      <c r="B58">
        <v>0.125</v>
      </c>
      <c r="C58">
        <v>1</v>
      </c>
      <c r="D58">
        <v>0</v>
      </c>
      <c r="E58" t="s">
        <v>86</v>
      </c>
      <c r="F58" t="s">
        <v>17</v>
      </c>
      <c r="G58" t="s">
        <v>26</v>
      </c>
      <c r="H58" t="s">
        <v>20</v>
      </c>
      <c r="I58" t="s">
        <v>24</v>
      </c>
      <c r="J58" t="s">
        <v>18</v>
      </c>
    </row>
    <row r="59" spans="1:15">
      <c r="A59" t="s">
        <v>88</v>
      </c>
      <c r="B59">
        <v>0.125</v>
      </c>
      <c r="C59">
        <v>1</v>
      </c>
      <c r="D59">
        <v>-9.9999999999999895E-2</v>
      </c>
      <c r="E59" t="s">
        <v>86</v>
      </c>
    </row>
    <row r="60" spans="1:15">
      <c r="A60" t="s">
        <v>88</v>
      </c>
      <c r="B60">
        <v>0.125</v>
      </c>
      <c r="C60">
        <v>1</v>
      </c>
      <c r="D60">
        <v>-0.2</v>
      </c>
      <c r="E60" t="s">
        <v>86</v>
      </c>
    </row>
    <row r="61" spans="1:15">
      <c r="A61" t="s">
        <v>88</v>
      </c>
      <c r="B61">
        <v>0.125</v>
      </c>
      <c r="C61">
        <v>1</v>
      </c>
      <c r="D61">
        <v>-0.3</v>
      </c>
      <c r="E61" t="s">
        <v>86</v>
      </c>
    </row>
    <row r="62" spans="1:15">
      <c r="A62" t="s">
        <v>89</v>
      </c>
      <c r="B62">
        <v>6.3E-2</v>
      </c>
      <c r="C62">
        <v>1</v>
      </c>
      <c r="D62">
        <v>1.6</v>
      </c>
      <c r="E62" t="s">
        <v>86</v>
      </c>
      <c r="F62" t="s">
        <v>22</v>
      </c>
      <c r="G62" t="s">
        <v>20</v>
      </c>
      <c r="H62" t="s">
        <v>17</v>
      </c>
      <c r="I62" t="s">
        <v>25</v>
      </c>
      <c r="J62" t="s">
        <v>24</v>
      </c>
      <c r="K62" t="s">
        <v>22</v>
      </c>
      <c r="L62" t="s">
        <v>20</v>
      </c>
      <c r="M62" t="s">
        <v>17</v>
      </c>
      <c r="N62" t="s">
        <v>25</v>
      </c>
      <c r="O62" t="s">
        <v>24</v>
      </c>
    </row>
    <row r="63" spans="1:15">
      <c r="A63" t="s">
        <v>89</v>
      </c>
      <c r="B63">
        <v>6.3E-2</v>
      </c>
      <c r="C63">
        <v>1</v>
      </c>
      <c r="D63">
        <v>1.5</v>
      </c>
      <c r="E63" t="s">
        <v>86</v>
      </c>
      <c r="F63" t="s">
        <v>19</v>
      </c>
      <c r="G63" t="s">
        <v>18</v>
      </c>
      <c r="H63" t="s">
        <v>20</v>
      </c>
      <c r="I63" t="s">
        <v>26</v>
      </c>
      <c r="J63" t="s">
        <v>21</v>
      </c>
      <c r="K63" t="s">
        <v>19</v>
      </c>
      <c r="L63" t="s">
        <v>18</v>
      </c>
      <c r="M63" t="s">
        <v>20</v>
      </c>
      <c r="N63" t="s">
        <v>26</v>
      </c>
      <c r="O63" t="s">
        <v>21</v>
      </c>
    </row>
    <row r="64" spans="1:15">
      <c r="A64" t="s">
        <v>89</v>
      </c>
      <c r="B64">
        <v>6.3E-2</v>
      </c>
      <c r="C64">
        <v>1</v>
      </c>
      <c r="D64">
        <v>1.4</v>
      </c>
      <c r="E64" t="s">
        <v>86</v>
      </c>
      <c r="F64" t="s">
        <v>20</v>
      </c>
      <c r="G64" t="s">
        <v>23</v>
      </c>
      <c r="H64" t="s">
        <v>19</v>
      </c>
      <c r="I64" t="s">
        <v>18</v>
      </c>
      <c r="J64" t="s">
        <v>21</v>
      </c>
      <c r="K64" t="s">
        <v>20</v>
      </c>
      <c r="L64" t="s">
        <v>23</v>
      </c>
      <c r="M64" t="s">
        <v>19</v>
      </c>
      <c r="N64" t="s">
        <v>18</v>
      </c>
      <c r="O64" t="s">
        <v>21</v>
      </c>
    </row>
    <row r="65" spans="1:14">
      <c r="A65" t="s">
        <v>89</v>
      </c>
      <c r="B65">
        <v>6.3E-2</v>
      </c>
      <c r="C65">
        <v>1</v>
      </c>
      <c r="D65">
        <v>1.3</v>
      </c>
      <c r="E65" t="s">
        <v>86</v>
      </c>
      <c r="F65" t="s">
        <v>22</v>
      </c>
      <c r="G65" t="s">
        <v>19</v>
      </c>
      <c r="H65" t="s">
        <v>25</v>
      </c>
      <c r="I65" t="s">
        <v>26</v>
      </c>
      <c r="J65" t="s">
        <v>18</v>
      </c>
      <c r="K65" t="s">
        <v>22</v>
      </c>
      <c r="L65" t="s">
        <v>19</v>
      </c>
      <c r="M65" t="s">
        <v>25</v>
      </c>
      <c r="N65" t="s">
        <v>26</v>
      </c>
    </row>
    <row r="66" spans="1:14">
      <c r="A66" t="s">
        <v>89</v>
      </c>
      <c r="B66">
        <v>6.3E-2</v>
      </c>
      <c r="C66">
        <v>1</v>
      </c>
      <c r="D66">
        <v>1.2</v>
      </c>
      <c r="E66" t="s">
        <v>86</v>
      </c>
      <c r="F66" t="s">
        <v>19</v>
      </c>
      <c r="G66" t="s">
        <v>22</v>
      </c>
      <c r="H66" t="s">
        <v>26</v>
      </c>
      <c r="I66" t="s">
        <v>20</v>
      </c>
      <c r="J66" t="s">
        <v>24</v>
      </c>
    </row>
    <row r="67" spans="1:14">
      <c r="A67" t="s">
        <v>89</v>
      </c>
      <c r="B67">
        <v>6.3E-2</v>
      </c>
      <c r="C67">
        <v>1</v>
      </c>
      <c r="D67">
        <v>1.1000000000000001</v>
      </c>
      <c r="E67" t="s">
        <v>86</v>
      </c>
      <c r="F67" t="s">
        <v>23</v>
      </c>
      <c r="G67" t="s">
        <v>18</v>
      </c>
      <c r="H67" t="s">
        <v>26</v>
      </c>
      <c r="I67" t="s">
        <v>20</v>
      </c>
      <c r="J67" t="s">
        <v>22</v>
      </c>
    </row>
    <row r="68" spans="1:14">
      <c r="A68" t="s">
        <v>89</v>
      </c>
      <c r="B68">
        <v>6.3E-2</v>
      </c>
      <c r="C68">
        <v>1</v>
      </c>
      <c r="D68">
        <v>0.999999999999999</v>
      </c>
      <c r="E68" t="s">
        <v>86</v>
      </c>
      <c r="F68" t="s">
        <v>20</v>
      </c>
      <c r="G68" t="s">
        <v>25</v>
      </c>
      <c r="H68" t="s">
        <v>21</v>
      </c>
      <c r="I68" t="s">
        <v>19</v>
      </c>
      <c r="J68" t="s">
        <v>17</v>
      </c>
    </row>
    <row r="69" spans="1:14">
      <c r="A69" t="s">
        <v>89</v>
      </c>
      <c r="B69">
        <v>6.3E-2</v>
      </c>
      <c r="C69">
        <v>1</v>
      </c>
      <c r="D69">
        <v>0.89999999999999902</v>
      </c>
      <c r="E69" t="s">
        <v>86</v>
      </c>
      <c r="F69" t="s">
        <v>23</v>
      </c>
      <c r="G69" t="s">
        <v>24</v>
      </c>
      <c r="H69" t="s">
        <v>19</v>
      </c>
      <c r="I69" t="s">
        <v>25</v>
      </c>
      <c r="J69" t="s">
        <v>26</v>
      </c>
    </row>
    <row r="70" spans="1:14">
      <c r="A70" t="s">
        <v>89</v>
      </c>
      <c r="B70">
        <v>6.3E-2</v>
      </c>
      <c r="C70">
        <v>1</v>
      </c>
      <c r="D70">
        <v>0.79999999999999905</v>
      </c>
      <c r="E70" t="s">
        <v>86</v>
      </c>
      <c r="F70" t="s">
        <v>20</v>
      </c>
      <c r="G70" t="s">
        <v>19</v>
      </c>
      <c r="H70" t="s">
        <v>25</v>
      </c>
      <c r="I70" t="s">
        <v>21</v>
      </c>
      <c r="J70" t="s">
        <v>26</v>
      </c>
    </row>
    <row r="71" spans="1:14">
      <c r="A71" t="s">
        <v>89</v>
      </c>
      <c r="B71">
        <v>6.3E-2</v>
      </c>
      <c r="C71">
        <v>1</v>
      </c>
      <c r="D71">
        <v>0.69999999999999896</v>
      </c>
      <c r="E71" t="s">
        <v>86</v>
      </c>
      <c r="F71" t="s">
        <v>23</v>
      </c>
      <c r="G71" t="s">
        <v>20</v>
      </c>
      <c r="H71" t="s">
        <v>22</v>
      </c>
      <c r="I71" t="s">
        <v>18</v>
      </c>
      <c r="J71" t="s">
        <v>19</v>
      </c>
    </row>
    <row r="72" spans="1:14">
      <c r="A72" t="s">
        <v>89</v>
      </c>
      <c r="B72">
        <v>6.3E-2</v>
      </c>
      <c r="C72">
        <v>1</v>
      </c>
      <c r="D72">
        <v>0.6</v>
      </c>
      <c r="E72" t="s">
        <v>86</v>
      </c>
      <c r="F72" t="s">
        <v>21</v>
      </c>
      <c r="G72" t="s">
        <v>23</v>
      </c>
      <c r="H72" t="s">
        <v>26</v>
      </c>
      <c r="I72" t="s">
        <v>19</v>
      </c>
      <c r="J72" t="s">
        <v>20</v>
      </c>
    </row>
    <row r="73" spans="1:14">
      <c r="A73" t="s">
        <v>89</v>
      </c>
      <c r="B73">
        <v>6.3E-2</v>
      </c>
      <c r="C73">
        <v>1</v>
      </c>
      <c r="D73">
        <v>0.5</v>
      </c>
      <c r="E73" t="s">
        <v>86</v>
      </c>
      <c r="F73" t="s">
        <v>17</v>
      </c>
      <c r="G73" t="s">
        <v>22</v>
      </c>
      <c r="H73" t="s">
        <v>20</v>
      </c>
      <c r="I73" t="s">
        <v>18</v>
      </c>
      <c r="J73" t="s">
        <v>23</v>
      </c>
    </row>
    <row r="74" spans="1:14">
      <c r="A74" t="s">
        <v>89</v>
      </c>
      <c r="B74">
        <v>6.3E-2</v>
      </c>
      <c r="C74">
        <v>1</v>
      </c>
      <c r="D74">
        <v>0.4</v>
      </c>
      <c r="E74" t="s">
        <v>86</v>
      </c>
      <c r="F74" t="s">
        <v>26</v>
      </c>
      <c r="G74" t="s">
        <v>17</v>
      </c>
      <c r="H74" t="s">
        <v>22</v>
      </c>
      <c r="I74" t="s">
        <v>23</v>
      </c>
      <c r="J74" t="s">
        <v>18</v>
      </c>
    </row>
    <row r="75" spans="1:14">
      <c r="A75" t="s">
        <v>89</v>
      </c>
      <c r="B75">
        <v>6.3E-2</v>
      </c>
      <c r="C75">
        <v>1</v>
      </c>
      <c r="D75">
        <v>0.3</v>
      </c>
      <c r="E75" t="s">
        <v>86</v>
      </c>
      <c r="F75" t="s">
        <v>24</v>
      </c>
      <c r="G75" t="s">
        <v>18</v>
      </c>
      <c r="H75" t="s">
        <v>26</v>
      </c>
      <c r="I75" t="s">
        <v>20</v>
      </c>
      <c r="J75" t="s">
        <v>19</v>
      </c>
    </row>
    <row r="76" spans="1:14">
      <c r="A76" t="s">
        <v>89</v>
      </c>
      <c r="B76">
        <v>6.3E-2</v>
      </c>
      <c r="C76">
        <v>1</v>
      </c>
      <c r="D76">
        <v>0.2</v>
      </c>
      <c r="E76" t="s">
        <v>86</v>
      </c>
      <c r="F76" t="s">
        <v>19</v>
      </c>
      <c r="G76" t="s">
        <v>17</v>
      </c>
      <c r="H76" t="s">
        <v>25</v>
      </c>
      <c r="I76" t="s">
        <v>18</v>
      </c>
      <c r="J76" t="s">
        <v>26</v>
      </c>
    </row>
    <row r="77" spans="1:14">
      <c r="A77" t="s">
        <v>89</v>
      </c>
      <c r="B77">
        <v>6.3E-2</v>
      </c>
      <c r="C77">
        <v>1</v>
      </c>
      <c r="D77">
        <v>0.1</v>
      </c>
      <c r="E77" t="s">
        <v>86</v>
      </c>
      <c r="F77" t="s">
        <v>17</v>
      </c>
      <c r="G77" t="s">
        <v>19</v>
      </c>
      <c r="H77" t="s">
        <v>22</v>
      </c>
      <c r="I77" t="s">
        <v>23</v>
      </c>
      <c r="J77" t="s">
        <v>25</v>
      </c>
    </row>
    <row r="78" spans="1:14">
      <c r="A78" t="s">
        <v>89</v>
      </c>
      <c r="B78">
        <v>6.3E-2</v>
      </c>
      <c r="C78">
        <v>1</v>
      </c>
      <c r="D78">
        <v>0</v>
      </c>
      <c r="E78" t="s">
        <v>86</v>
      </c>
      <c r="F78" t="s">
        <v>23</v>
      </c>
      <c r="G78" t="s">
        <v>18</v>
      </c>
      <c r="H78" t="s">
        <v>19</v>
      </c>
      <c r="I78" t="s">
        <v>22</v>
      </c>
      <c r="J78" t="s">
        <v>21</v>
      </c>
    </row>
    <row r="79" spans="1:14">
      <c r="A79" t="s">
        <v>89</v>
      </c>
      <c r="B79">
        <v>6.3E-2</v>
      </c>
      <c r="C79">
        <v>1</v>
      </c>
      <c r="D79">
        <v>-9.9999999999999895E-2</v>
      </c>
      <c r="E79" t="s">
        <v>86</v>
      </c>
      <c r="F79" t="s">
        <v>24</v>
      </c>
      <c r="G79" t="s">
        <v>19</v>
      </c>
      <c r="H79" t="s">
        <v>22</v>
      </c>
      <c r="I79" t="s">
        <v>23</v>
      </c>
      <c r="J79" t="s">
        <v>18</v>
      </c>
    </row>
    <row r="80" spans="1:14">
      <c r="A80" t="s">
        <v>89</v>
      </c>
      <c r="B80">
        <v>6.3E-2</v>
      </c>
      <c r="C80">
        <v>1</v>
      </c>
      <c r="D80">
        <v>-0.2</v>
      </c>
      <c r="E80" t="s">
        <v>86</v>
      </c>
    </row>
    <row r="81" spans="1:15">
      <c r="A81" t="s">
        <v>89</v>
      </c>
      <c r="B81">
        <v>6.3E-2</v>
      </c>
      <c r="C81">
        <v>1</v>
      </c>
      <c r="D81">
        <v>-0.3</v>
      </c>
      <c r="E81" t="s">
        <v>86</v>
      </c>
    </row>
    <row r="82" spans="1:15">
      <c r="A82" t="s">
        <v>90</v>
      </c>
      <c r="B82">
        <v>3.1E-2</v>
      </c>
      <c r="C82">
        <v>1</v>
      </c>
      <c r="D82">
        <v>1.6</v>
      </c>
      <c r="E82" t="s">
        <v>86</v>
      </c>
      <c r="F82" t="s">
        <v>22</v>
      </c>
      <c r="G82" t="s">
        <v>18</v>
      </c>
      <c r="H82" t="s">
        <v>26</v>
      </c>
      <c r="I82" t="s">
        <v>24</v>
      </c>
      <c r="J82" t="s">
        <v>25</v>
      </c>
      <c r="K82" t="s">
        <v>22</v>
      </c>
      <c r="L82" t="s">
        <v>18</v>
      </c>
      <c r="M82" t="s">
        <v>26</v>
      </c>
      <c r="N82" t="s">
        <v>24</v>
      </c>
      <c r="O82" t="s">
        <v>25</v>
      </c>
    </row>
    <row r="83" spans="1:15">
      <c r="A83" t="s">
        <v>90</v>
      </c>
      <c r="B83">
        <v>3.1E-2</v>
      </c>
      <c r="C83">
        <v>1</v>
      </c>
      <c r="D83">
        <v>1.5</v>
      </c>
      <c r="E83" t="s">
        <v>86</v>
      </c>
      <c r="F83" t="s">
        <v>17</v>
      </c>
      <c r="G83" t="s">
        <v>24</v>
      </c>
      <c r="H83" t="s">
        <v>26</v>
      </c>
      <c r="I83" t="s">
        <v>18</v>
      </c>
      <c r="J83" t="s">
        <v>21</v>
      </c>
      <c r="K83" t="s">
        <v>17</v>
      </c>
      <c r="L83" t="s">
        <v>24</v>
      </c>
      <c r="M83" t="s">
        <v>26</v>
      </c>
      <c r="N83" t="s">
        <v>18</v>
      </c>
      <c r="O83" t="s">
        <v>21</v>
      </c>
    </row>
    <row r="84" spans="1:15">
      <c r="A84" t="s">
        <v>90</v>
      </c>
      <c r="B84">
        <v>3.1E-2</v>
      </c>
      <c r="C84">
        <v>1</v>
      </c>
      <c r="D84">
        <v>1.4</v>
      </c>
      <c r="E84" t="s">
        <v>86</v>
      </c>
      <c r="F84" t="s">
        <v>22</v>
      </c>
      <c r="G84" t="s">
        <v>19</v>
      </c>
      <c r="H84" t="s">
        <v>18</v>
      </c>
      <c r="I84" t="s">
        <v>21</v>
      </c>
      <c r="J84" t="s">
        <v>25</v>
      </c>
      <c r="K84" t="s">
        <v>22</v>
      </c>
      <c r="L84" t="s">
        <v>19</v>
      </c>
      <c r="M84" t="s">
        <v>18</v>
      </c>
      <c r="N84" t="s">
        <v>21</v>
      </c>
      <c r="O84" t="s">
        <v>25</v>
      </c>
    </row>
    <row r="85" spans="1:15">
      <c r="A85" t="s">
        <v>90</v>
      </c>
      <c r="B85">
        <v>3.1E-2</v>
      </c>
      <c r="C85">
        <v>1</v>
      </c>
      <c r="D85">
        <v>1.3</v>
      </c>
      <c r="E85" t="s">
        <v>86</v>
      </c>
      <c r="F85" t="s">
        <v>18</v>
      </c>
      <c r="G85" t="s">
        <v>21</v>
      </c>
      <c r="H85" t="s">
        <v>23</v>
      </c>
      <c r="I85" t="s">
        <v>19</v>
      </c>
      <c r="J85" t="s">
        <v>25</v>
      </c>
    </row>
    <row r="86" spans="1:15">
      <c r="A86" t="s">
        <v>90</v>
      </c>
      <c r="B86">
        <v>3.1E-2</v>
      </c>
      <c r="C86">
        <v>1</v>
      </c>
      <c r="D86">
        <v>1.2</v>
      </c>
      <c r="E86" t="s">
        <v>86</v>
      </c>
      <c r="F86" t="s">
        <v>25</v>
      </c>
      <c r="G86" t="s">
        <v>17</v>
      </c>
      <c r="H86" t="s">
        <v>18</v>
      </c>
      <c r="I86" t="s">
        <v>22</v>
      </c>
      <c r="J86" t="s">
        <v>20</v>
      </c>
    </row>
    <row r="87" spans="1:15">
      <c r="A87" t="s">
        <v>90</v>
      </c>
      <c r="B87">
        <v>3.1E-2</v>
      </c>
      <c r="C87">
        <v>1</v>
      </c>
      <c r="D87">
        <v>1.1000000000000001</v>
      </c>
      <c r="E87" t="s">
        <v>86</v>
      </c>
      <c r="F87" t="s">
        <v>20</v>
      </c>
      <c r="G87" t="s">
        <v>22</v>
      </c>
      <c r="H87" t="s">
        <v>24</v>
      </c>
      <c r="I87" t="s">
        <v>17</v>
      </c>
      <c r="J87" t="s">
        <v>21</v>
      </c>
    </row>
    <row r="88" spans="1:15">
      <c r="A88" t="s">
        <v>90</v>
      </c>
      <c r="B88">
        <v>3.1E-2</v>
      </c>
      <c r="C88">
        <v>1</v>
      </c>
      <c r="D88">
        <v>0.999999999999999</v>
      </c>
      <c r="E88" t="s">
        <v>86</v>
      </c>
      <c r="F88" t="s">
        <v>19</v>
      </c>
      <c r="G88" t="s">
        <v>25</v>
      </c>
      <c r="H88" t="s">
        <v>26</v>
      </c>
      <c r="I88" t="s">
        <v>18</v>
      </c>
      <c r="J88" t="s">
        <v>21</v>
      </c>
    </row>
    <row r="89" spans="1:15">
      <c r="A89" t="s">
        <v>90</v>
      </c>
      <c r="B89">
        <v>3.1E-2</v>
      </c>
      <c r="C89">
        <v>1</v>
      </c>
      <c r="D89">
        <v>0.89999999999999902</v>
      </c>
      <c r="E89" t="s">
        <v>86</v>
      </c>
      <c r="F89" t="s">
        <v>25</v>
      </c>
      <c r="G89" t="s">
        <v>18</v>
      </c>
      <c r="H89" t="s">
        <v>23</v>
      </c>
      <c r="I89" t="s">
        <v>19</v>
      </c>
      <c r="J89" t="s">
        <v>17</v>
      </c>
    </row>
    <row r="90" spans="1:15">
      <c r="A90" t="s">
        <v>90</v>
      </c>
      <c r="B90">
        <v>3.1E-2</v>
      </c>
      <c r="C90">
        <v>1</v>
      </c>
      <c r="D90">
        <v>0.79999999999999905</v>
      </c>
      <c r="E90" t="s">
        <v>86</v>
      </c>
      <c r="F90" t="s">
        <v>23</v>
      </c>
      <c r="G90" t="s">
        <v>19</v>
      </c>
      <c r="H90" t="s">
        <v>25</v>
      </c>
      <c r="I90" t="s">
        <v>26</v>
      </c>
      <c r="J90" t="s">
        <v>24</v>
      </c>
    </row>
    <row r="91" spans="1:15">
      <c r="A91" t="s">
        <v>90</v>
      </c>
      <c r="B91">
        <v>3.1E-2</v>
      </c>
      <c r="C91">
        <v>1</v>
      </c>
      <c r="D91">
        <v>0.69999999999999896</v>
      </c>
      <c r="E91" t="s">
        <v>86</v>
      </c>
      <c r="F91" t="s">
        <v>23</v>
      </c>
      <c r="G91" t="s">
        <v>24</v>
      </c>
      <c r="H91" t="s">
        <v>17</v>
      </c>
      <c r="I91" t="s">
        <v>22</v>
      </c>
      <c r="J91" t="s">
        <v>19</v>
      </c>
    </row>
    <row r="92" spans="1:15">
      <c r="A92" t="s">
        <v>90</v>
      </c>
      <c r="B92">
        <v>3.1E-2</v>
      </c>
      <c r="C92">
        <v>1</v>
      </c>
      <c r="D92">
        <v>0.6</v>
      </c>
      <c r="E92" t="s">
        <v>86</v>
      </c>
      <c r="F92" t="s">
        <v>25</v>
      </c>
      <c r="G92" t="s">
        <v>21</v>
      </c>
      <c r="H92" t="s">
        <v>24</v>
      </c>
      <c r="I92" t="s">
        <v>26</v>
      </c>
      <c r="J92" t="s">
        <v>20</v>
      </c>
    </row>
    <row r="93" spans="1:15">
      <c r="A93" t="s">
        <v>90</v>
      </c>
      <c r="B93">
        <v>3.1E-2</v>
      </c>
      <c r="C93">
        <v>1</v>
      </c>
      <c r="D93">
        <v>0.5</v>
      </c>
      <c r="E93" t="s">
        <v>86</v>
      </c>
      <c r="F93" t="s">
        <v>21</v>
      </c>
      <c r="G93" t="s">
        <v>17</v>
      </c>
      <c r="H93" t="s">
        <v>25</v>
      </c>
      <c r="I93" t="s">
        <v>24</v>
      </c>
      <c r="J93" t="s">
        <v>23</v>
      </c>
    </row>
    <row r="94" spans="1:15">
      <c r="A94" t="s">
        <v>90</v>
      </c>
      <c r="B94">
        <v>3.1E-2</v>
      </c>
      <c r="C94">
        <v>1</v>
      </c>
      <c r="D94">
        <v>0.4</v>
      </c>
      <c r="E94" t="s">
        <v>86</v>
      </c>
      <c r="F94" t="s">
        <v>21</v>
      </c>
      <c r="G94" t="s">
        <v>25</v>
      </c>
      <c r="H94" t="s">
        <v>18</v>
      </c>
      <c r="I94" t="s">
        <v>22</v>
      </c>
      <c r="J94" t="s">
        <v>17</v>
      </c>
    </row>
    <row r="95" spans="1:15">
      <c r="A95" t="s">
        <v>90</v>
      </c>
      <c r="B95">
        <v>3.1E-2</v>
      </c>
      <c r="C95">
        <v>1</v>
      </c>
      <c r="D95">
        <v>0.3</v>
      </c>
      <c r="E95" t="s">
        <v>86</v>
      </c>
      <c r="F95" t="s">
        <v>22</v>
      </c>
      <c r="G95" t="s">
        <v>25</v>
      </c>
      <c r="H95" t="s">
        <v>21</v>
      </c>
      <c r="I95" t="s">
        <v>19</v>
      </c>
      <c r="J95" t="s">
        <v>18</v>
      </c>
    </row>
    <row r="96" spans="1:15">
      <c r="A96" t="s">
        <v>90</v>
      </c>
      <c r="B96">
        <v>3.1E-2</v>
      </c>
      <c r="C96">
        <v>1</v>
      </c>
      <c r="D96">
        <v>0.2</v>
      </c>
      <c r="E96" t="s">
        <v>86</v>
      </c>
      <c r="F96" t="s">
        <v>25</v>
      </c>
      <c r="G96" t="s">
        <v>17</v>
      </c>
      <c r="H96" t="s">
        <v>20</v>
      </c>
      <c r="I96" t="s">
        <v>19</v>
      </c>
      <c r="J96" t="s">
        <v>23</v>
      </c>
    </row>
    <row r="97" spans="1:15">
      <c r="A97" t="s">
        <v>90</v>
      </c>
      <c r="B97">
        <v>3.1E-2</v>
      </c>
      <c r="C97">
        <v>1</v>
      </c>
      <c r="D97">
        <v>0.1</v>
      </c>
      <c r="E97" t="s">
        <v>86</v>
      </c>
      <c r="F97" t="s">
        <v>21</v>
      </c>
      <c r="G97" t="s">
        <v>25</v>
      </c>
      <c r="H97" t="s">
        <v>22</v>
      </c>
      <c r="I97" t="s">
        <v>17</v>
      </c>
      <c r="J97" t="s">
        <v>19</v>
      </c>
    </row>
    <row r="98" spans="1:15">
      <c r="A98" t="s">
        <v>90</v>
      </c>
      <c r="B98">
        <v>3.1E-2</v>
      </c>
      <c r="C98">
        <v>1</v>
      </c>
      <c r="D98">
        <v>0</v>
      </c>
      <c r="E98" t="s">
        <v>86</v>
      </c>
      <c r="F98" t="s">
        <v>26</v>
      </c>
      <c r="G98" t="s">
        <v>21</v>
      </c>
      <c r="H98" t="s">
        <v>19</v>
      </c>
      <c r="I98" t="s">
        <v>23</v>
      </c>
      <c r="J98" t="s">
        <v>20</v>
      </c>
    </row>
    <row r="99" spans="1:15">
      <c r="A99" t="s">
        <v>90</v>
      </c>
      <c r="B99">
        <v>3.1E-2</v>
      </c>
      <c r="C99">
        <v>1</v>
      </c>
      <c r="D99">
        <v>-9.9999999999999895E-2</v>
      </c>
      <c r="E99" t="s">
        <v>86</v>
      </c>
      <c r="F99" t="s">
        <v>25</v>
      </c>
      <c r="G99" t="s">
        <v>21</v>
      </c>
      <c r="H99" t="s">
        <v>19</v>
      </c>
      <c r="I99" t="s">
        <v>24</v>
      </c>
      <c r="J99" t="s">
        <v>17</v>
      </c>
    </row>
    <row r="100" spans="1:15">
      <c r="A100" t="s">
        <v>90</v>
      </c>
      <c r="B100">
        <v>3.1E-2</v>
      </c>
      <c r="C100">
        <v>1</v>
      </c>
      <c r="D100">
        <v>-0.2</v>
      </c>
      <c r="E100" t="s">
        <v>86</v>
      </c>
      <c r="F100" t="s">
        <v>24</v>
      </c>
      <c r="G100" t="s">
        <v>22</v>
      </c>
      <c r="H100" t="s">
        <v>18</v>
      </c>
      <c r="I100" t="s">
        <v>19</v>
      </c>
      <c r="J100" t="s">
        <v>25</v>
      </c>
    </row>
    <row r="101" spans="1:15">
      <c r="A101" t="s">
        <v>90</v>
      </c>
      <c r="B101">
        <v>3.1E-2</v>
      </c>
      <c r="C101">
        <v>1</v>
      </c>
      <c r="D101">
        <v>-0.3</v>
      </c>
      <c r="E101" t="s">
        <v>86</v>
      </c>
    </row>
    <row r="102" spans="1:15">
      <c r="A102" t="s">
        <v>91</v>
      </c>
      <c r="B102">
        <v>1.6E-2</v>
      </c>
      <c r="C102">
        <v>1</v>
      </c>
      <c r="D102">
        <v>1.6</v>
      </c>
      <c r="E102" t="s">
        <v>86</v>
      </c>
      <c r="F102" t="s">
        <v>25</v>
      </c>
      <c r="G102" t="s">
        <v>18</v>
      </c>
      <c r="H102" t="s">
        <v>23</v>
      </c>
      <c r="I102" t="s">
        <v>24</v>
      </c>
      <c r="J102" t="s">
        <v>19</v>
      </c>
      <c r="K102" t="s">
        <v>25</v>
      </c>
      <c r="L102" t="s">
        <v>18</v>
      </c>
      <c r="M102" t="s">
        <v>23</v>
      </c>
      <c r="N102" t="s">
        <v>24</v>
      </c>
      <c r="O102" t="s">
        <v>19</v>
      </c>
    </row>
    <row r="103" spans="1:15">
      <c r="A103" t="s">
        <v>91</v>
      </c>
      <c r="B103">
        <v>1.6E-2</v>
      </c>
      <c r="C103">
        <v>1</v>
      </c>
      <c r="D103">
        <v>1.5</v>
      </c>
      <c r="E103" t="s">
        <v>86</v>
      </c>
      <c r="F103" t="s">
        <v>20</v>
      </c>
      <c r="G103" t="s">
        <v>25</v>
      </c>
      <c r="H103" t="s">
        <v>26</v>
      </c>
      <c r="I103" t="s">
        <v>22</v>
      </c>
      <c r="J103" t="s">
        <v>17</v>
      </c>
      <c r="K103" t="s">
        <v>20</v>
      </c>
      <c r="N103" t="s">
        <v>22</v>
      </c>
      <c r="O103" t="s">
        <v>17</v>
      </c>
    </row>
    <row r="104" spans="1:15">
      <c r="A104" t="s">
        <v>91</v>
      </c>
      <c r="B104">
        <v>1.6E-2</v>
      </c>
      <c r="C104">
        <v>1</v>
      </c>
      <c r="D104">
        <v>1.4</v>
      </c>
      <c r="E104" t="s">
        <v>86</v>
      </c>
      <c r="F104" t="s">
        <v>26</v>
      </c>
      <c r="G104" t="s">
        <v>21</v>
      </c>
      <c r="H104" t="s">
        <v>19</v>
      </c>
      <c r="I104" t="s">
        <v>20</v>
      </c>
      <c r="J104" t="s">
        <v>23</v>
      </c>
    </row>
    <row r="105" spans="1:15">
      <c r="A105" t="s">
        <v>91</v>
      </c>
      <c r="B105">
        <v>1.6E-2</v>
      </c>
      <c r="C105">
        <v>1</v>
      </c>
      <c r="D105">
        <v>1.3</v>
      </c>
      <c r="E105" t="s">
        <v>86</v>
      </c>
      <c r="F105" t="s">
        <v>19</v>
      </c>
      <c r="G105" t="s">
        <v>21</v>
      </c>
      <c r="H105" t="s">
        <v>22</v>
      </c>
      <c r="I105" t="s">
        <v>17</v>
      </c>
      <c r="J105" t="s">
        <v>25</v>
      </c>
    </row>
    <row r="106" spans="1:15">
      <c r="A106" t="s">
        <v>91</v>
      </c>
      <c r="B106">
        <v>1.6E-2</v>
      </c>
      <c r="C106">
        <v>1</v>
      </c>
      <c r="D106">
        <v>1.2</v>
      </c>
      <c r="E106" t="s">
        <v>86</v>
      </c>
      <c r="F106" t="s">
        <v>18</v>
      </c>
      <c r="G106" t="s">
        <v>17</v>
      </c>
      <c r="H106" t="s">
        <v>20</v>
      </c>
      <c r="I106" t="s">
        <v>25</v>
      </c>
      <c r="J106" t="s">
        <v>19</v>
      </c>
    </row>
    <row r="107" spans="1:15">
      <c r="A107" t="s">
        <v>91</v>
      </c>
      <c r="B107">
        <v>1.6E-2</v>
      </c>
      <c r="C107">
        <v>1</v>
      </c>
      <c r="D107">
        <v>1.1000000000000001</v>
      </c>
      <c r="E107" t="s">
        <v>86</v>
      </c>
      <c r="F107" t="s">
        <v>26</v>
      </c>
      <c r="G107" t="s">
        <v>23</v>
      </c>
      <c r="H107" t="s">
        <v>22</v>
      </c>
      <c r="I107" t="s">
        <v>20</v>
      </c>
      <c r="J107" t="s">
        <v>24</v>
      </c>
    </row>
    <row r="108" spans="1:15">
      <c r="A108" t="s">
        <v>91</v>
      </c>
      <c r="B108">
        <v>1.6E-2</v>
      </c>
      <c r="C108">
        <v>1</v>
      </c>
      <c r="D108">
        <v>0.999999999999999</v>
      </c>
      <c r="E108" t="s">
        <v>86</v>
      </c>
      <c r="F108" t="s">
        <v>17</v>
      </c>
      <c r="G108" t="s">
        <v>20</v>
      </c>
      <c r="H108" t="s">
        <v>22</v>
      </c>
      <c r="I108" t="s">
        <v>19</v>
      </c>
      <c r="J108" t="s">
        <v>18</v>
      </c>
    </row>
    <row r="109" spans="1:15">
      <c r="A109" t="s">
        <v>91</v>
      </c>
      <c r="B109">
        <v>1.6E-2</v>
      </c>
      <c r="C109">
        <v>1</v>
      </c>
      <c r="D109">
        <v>0.89999999999999902</v>
      </c>
      <c r="E109" t="s">
        <v>86</v>
      </c>
      <c r="F109" t="s">
        <v>24</v>
      </c>
      <c r="G109" t="s">
        <v>18</v>
      </c>
      <c r="H109" t="s">
        <v>20</v>
      </c>
      <c r="I109" t="s">
        <v>21</v>
      </c>
      <c r="J109" t="s">
        <v>19</v>
      </c>
    </row>
    <row r="110" spans="1:15">
      <c r="A110" t="s">
        <v>91</v>
      </c>
      <c r="B110">
        <v>1.6E-2</v>
      </c>
      <c r="C110">
        <v>1</v>
      </c>
      <c r="D110">
        <v>0.79999999999999905</v>
      </c>
      <c r="E110" t="s">
        <v>86</v>
      </c>
      <c r="F110" t="s">
        <v>26</v>
      </c>
      <c r="G110" t="s">
        <v>21</v>
      </c>
      <c r="H110" t="s">
        <v>22</v>
      </c>
      <c r="I110" t="s">
        <v>23</v>
      </c>
      <c r="J110" t="s">
        <v>18</v>
      </c>
    </row>
    <row r="111" spans="1:15">
      <c r="A111" t="s">
        <v>91</v>
      </c>
      <c r="B111">
        <v>1.6E-2</v>
      </c>
      <c r="C111">
        <v>1</v>
      </c>
      <c r="D111">
        <v>0.69999999999999896</v>
      </c>
      <c r="E111" t="s">
        <v>86</v>
      </c>
      <c r="F111" t="s">
        <v>17</v>
      </c>
      <c r="G111" t="s">
        <v>25</v>
      </c>
      <c r="H111" t="s">
        <v>24</v>
      </c>
      <c r="I111" t="s">
        <v>19</v>
      </c>
      <c r="J111" t="s">
        <v>20</v>
      </c>
    </row>
    <row r="112" spans="1:15">
      <c r="A112" t="s">
        <v>91</v>
      </c>
      <c r="B112">
        <v>1.6E-2</v>
      </c>
      <c r="C112">
        <v>1</v>
      </c>
      <c r="D112">
        <v>0.6</v>
      </c>
      <c r="E112" t="s">
        <v>86</v>
      </c>
      <c r="F112" t="s">
        <v>18</v>
      </c>
      <c r="G112" t="s">
        <v>22</v>
      </c>
      <c r="H112" t="s">
        <v>17</v>
      </c>
      <c r="I112" t="s">
        <v>19</v>
      </c>
      <c r="J112" t="s">
        <v>25</v>
      </c>
    </row>
    <row r="113" spans="1:10">
      <c r="A113" t="s">
        <v>91</v>
      </c>
      <c r="B113">
        <v>1.6E-2</v>
      </c>
      <c r="C113">
        <v>1</v>
      </c>
      <c r="D113">
        <v>0.5</v>
      </c>
      <c r="E113" t="s">
        <v>86</v>
      </c>
      <c r="F113" t="s">
        <v>18</v>
      </c>
      <c r="G113" t="s">
        <v>19</v>
      </c>
      <c r="H113" t="s">
        <v>20</v>
      </c>
      <c r="I113" t="s">
        <v>26</v>
      </c>
      <c r="J113" t="s">
        <v>17</v>
      </c>
    </row>
    <row r="114" spans="1:10">
      <c r="A114" t="s">
        <v>91</v>
      </c>
      <c r="B114">
        <v>1.6E-2</v>
      </c>
      <c r="C114">
        <v>1</v>
      </c>
      <c r="D114">
        <v>0.4</v>
      </c>
      <c r="E114" t="s">
        <v>86</v>
      </c>
      <c r="F114" t="s">
        <v>17</v>
      </c>
      <c r="G114" t="s">
        <v>22</v>
      </c>
      <c r="H114" t="s">
        <v>20</v>
      </c>
      <c r="I114" t="s">
        <v>25</v>
      </c>
      <c r="J114" t="s">
        <v>26</v>
      </c>
    </row>
    <row r="115" spans="1:10">
      <c r="A115" t="s">
        <v>91</v>
      </c>
      <c r="B115">
        <v>1.6E-2</v>
      </c>
      <c r="C115">
        <v>1</v>
      </c>
      <c r="D115">
        <v>0.3</v>
      </c>
      <c r="E115" t="s">
        <v>86</v>
      </c>
      <c r="F115" t="s">
        <v>25</v>
      </c>
      <c r="G115" t="s">
        <v>19</v>
      </c>
      <c r="H115" t="s">
        <v>26</v>
      </c>
      <c r="I115" t="s">
        <v>18</v>
      </c>
      <c r="J115" t="s">
        <v>22</v>
      </c>
    </row>
    <row r="116" spans="1:10">
      <c r="A116" t="s">
        <v>91</v>
      </c>
      <c r="B116">
        <v>1.6E-2</v>
      </c>
      <c r="C116">
        <v>1</v>
      </c>
      <c r="D116">
        <v>0.2</v>
      </c>
      <c r="E116" t="s">
        <v>86</v>
      </c>
      <c r="F116" t="s">
        <v>17</v>
      </c>
      <c r="G116" t="s">
        <v>23</v>
      </c>
      <c r="H116" t="s">
        <v>22</v>
      </c>
      <c r="I116" t="s">
        <v>24</v>
      </c>
      <c r="J116" t="s">
        <v>20</v>
      </c>
    </row>
    <row r="117" spans="1:10">
      <c r="A117" t="s">
        <v>91</v>
      </c>
      <c r="B117">
        <v>1.6E-2</v>
      </c>
      <c r="C117">
        <v>1</v>
      </c>
      <c r="D117">
        <v>0.1</v>
      </c>
      <c r="E117" t="s">
        <v>86</v>
      </c>
      <c r="F117" t="s">
        <v>21</v>
      </c>
      <c r="G117" t="s">
        <v>18</v>
      </c>
      <c r="H117" t="s">
        <v>25</v>
      </c>
      <c r="I117" t="s">
        <v>26</v>
      </c>
      <c r="J117" t="s">
        <v>24</v>
      </c>
    </row>
    <row r="118" spans="1:10">
      <c r="A118" t="s">
        <v>91</v>
      </c>
      <c r="B118">
        <v>1.6E-2</v>
      </c>
      <c r="C118">
        <v>1</v>
      </c>
      <c r="D118">
        <v>0</v>
      </c>
      <c r="E118" t="s">
        <v>86</v>
      </c>
      <c r="F118" t="s">
        <v>22</v>
      </c>
      <c r="G118" t="s">
        <v>24</v>
      </c>
      <c r="H118" t="s">
        <v>20</v>
      </c>
      <c r="I118" t="s">
        <v>19</v>
      </c>
      <c r="J118" t="s">
        <v>20</v>
      </c>
    </row>
    <row r="119" spans="1:10">
      <c r="A119" t="s">
        <v>91</v>
      </c>
      <c r="B119">
        <v>1.6E-2</v>
      </c>
      <c r="C119">
        <v>1</v>
      </c>
      <c r="D119">
        <v>-9.9999999999999895E-2</v>
      </c>
      <c r="E119" t="s">
        <v>86</v>
      </c>
      <c r="F119" t="s">
        <v>18</v>
      </c>
      <c r="G119" t="s">
        <v>25</v>
      </c>
      <c r="H119" t="s">
        <v>23</v>
      </c>
      <c r="I119" t="s">
        <v>24</v>
      </c>
      <c r="J119" t="s">
        <v>26</v>
      </c>
    </row>
    <row r="120" spans="1:10">
      <c r="A120" t="s">
        <v>91</v>
      </c>
      <c r="B120">
        <v>1.6E-2</v>
      </c>
      <c r="C120">
        <v>1</v>
      </c>
      <c r="D120">
        <v>-0.2</v>
      </c>
      <c r="E120" t="s">
        <v>86</v>
      </c>
    </row>
    <row r="121" spans="1:10">
      <c r="A121" t="s">
        <v>91</v>
      </c>
      <c r="B121">
        <v>1.6E-2</v>
      </c>
      <c r="C121">
        <v>1</v>
      </c>
      <c r="D121">
        <v>-0.3</v>
      </c>
      <c r="E121" t="s">
        <v>86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D643-4608-B44C-AB89-AC606A34BC6E}">
  <dimension ref="A1:P268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92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92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92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92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92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92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92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92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92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92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92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92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92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92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92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92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92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92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/>
      <c r="L19" s="4" t="s">
        <v>24</v>
      </c>
      <c r="M19" s="4" t="s">
        <v>20</v>
      </c>
      <c r="N19" s="4"/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92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/>
      <c r="L20" s="4"/>
      <c r="M20" s="4"/>
      <c r="N20" s="4"/>
      <c r="O20" s="4"/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92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92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92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92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92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92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92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92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92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92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92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92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92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92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92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 t="s">
        <v>17</v>
      </c>
      <c r="M35" s="4"/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92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 t="s">
        <v>20</v>
      </c>
      <c r="L36" s="4" t="s">
        <v>18</v>
      </c>
      <c r="M36" s="4" t="s">
        <v>26</v>
      </c>
      <c r="N36" s="4"/>
      <c r="O36" s="4" t="s">
        <v>21</v>
      </c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92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 t="s">
        <v>21</v>
      </c>
      <c r="L37" s="4" t="s">
        <v>18</v>
      </c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92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92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92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92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92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92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92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92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92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92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92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92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92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92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 t="s">
        <v>17</v>
      </c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92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 t="s">
        <v>19</v>
      </c>
      <c r="M52" s="4" t="s">
        <v>22</v>
      </c>
      <c r="N52" s="4" t="s">
        <v>23</v>
      </c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92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 t="s">
        <v>18</v>
      </c>
      <c r="L53" s="4" t="s">
        <v>19</v>
      </c>
      <c r="M53" s="4" t="s">
        <v>24</v>
      </c>
      <c r="N53" s="4"/>
      <c r="O53" s="4" t="s">
        <v>20</v>
      </c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92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 t="s">
        <v>20</v>
      </c>
      <c r="L54" s="4"/>
      <c r="M54" s="4"/>
      <c r="N54" s="4"/>
      <c r="O54" s="4" t="s">
        <v>18</v>
      </c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92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92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92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92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92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92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92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92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92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92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92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92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92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/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92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 t="s">
        <v>20</v>
      </c>
      <c r="L68" s="4"/>
      <c r="M68" s="4"/>
      <c r="N68" s="4" t="s">
        <v>19</v>
      </c>
      <c r="O68" s="4" t="s">
        <v>17</v>
      </c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92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/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92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92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92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92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92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92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92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92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92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92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92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92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92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92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92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92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/>
      <c r="M85" s="4"/>
      <c r="N85" s="4" t="s">
        <v>19</v>
      </c>
      <c r="O85" s="4" t="s">
        <v>25</v>
      </c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92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92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92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92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92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92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92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92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92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92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92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92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92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92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92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92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92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 t="s">
        <v>25</v>
      </c>
      <c r="L102" s="4" t="s">
        <v>18</v>
      </c>
      <c r="M102" s="4" t="s">
        <v>23</v>
      </c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92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 t="s">
        <v>20</v>
      </c>
      <c r="L103" s="4"/>
      <c r="M103" s="4"/>
      <c r="N103" s="4"/>
      <c r="O103" s="4" t="s">
        <v>17</v>
      </c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92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92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92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92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92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92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92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92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92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92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92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92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92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92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92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92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92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92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92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92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92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92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92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92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92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92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92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92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92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92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92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92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92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92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92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92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/>
      <c r="M139" s="4" t="s">
        <v>20</v>
      </c>
      <c r="N139" s="4" t="s">
        <v>25</v>
      </c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92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 t="s">
        <v>23</v>
      </c>
      <c r="L140" s="4" t="s">
        <v>22</v>
      </c>
      <c r="M140" s="4" t="s">
        <v>21</v>
      </c>
      <c r="N140" s="4" t="s">
        <v>20</v>
      </c>
      <c r="O140" s="4" t="s">
        <v>19</v>
      </c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92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/>
      <c r="L141" s="4"/>
      <c r="M141" s="4"/>
      <c r="N141" s="4"/>
      <c r="O141" s="4"/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92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92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92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92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92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92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92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92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92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92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92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92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92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92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92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92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92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92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92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 t="s">
        <v>23</v>
      </c>
      <c r="L160" s="4"/>
      <c r="M160" s="4"/>
      <c r="N160" s="4" t="s">
        <v>17</v>
      </c>
      <c r="O160" s="4" t="s">
        <v>24</v>
      </c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92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 t="s">
        <v>22</v>
      </c>
      <c r="L161" s="4"/>
      <c r="M161" s="4"/>
      <c r="N161" s="4"/>
      <c r="O161" s="4" t="s">
        <v>19</v>
      </c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92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/>
      <c r="L162" s="4"/>
      <c r="M162" s="4"/>
      <c r="N162" s="4"/>
      <c r="O162" s="4"/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92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92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92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92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92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92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92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92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92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92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92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92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92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92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92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92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92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92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92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/>
      <c r="L181" s="4"/>
      <c r="M181" s="4"/>
      <c r="N181" s="4"/>
      <c r="O181" s="4"/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92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/>
      <c r="L182" s="4"/>
      <c r="M182" s="4"/>
      <c r="N182" s="4"/>
      <c r="O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92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92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92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92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92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92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92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92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92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92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92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92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92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92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92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92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92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/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92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/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92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/>
      <c r="L201" s="4" t="s">
        <v>26</v>
      </c>
      <c r="M201" s="4" t="s">
        <v>19</v>
      </c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92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/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92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92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92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92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92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92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92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92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92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92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92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92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92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92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92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92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92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/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92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 t="s">
        <v>19</v>
      </c>
      <c r="M220" s="4" t="s">
        <v>18</v>
      </c>
      <c r="N220" s="4" t="s">
        <v>23</v>
      </c>
      <c r="O220" s="4" t="s">
        <v>17</v>
      </c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92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 t="s">
        <v>19</v>
      </c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92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/>
      <c r="L222" s="4"/>
      <c r="M222" s="4"/>
      <c r="N222" s="4"/>
      <c r="O222" s="4"/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92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92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6">
      <c r="A225" s="4" t="s">
        <v>97</v>
      </c>
      <c r="B225" s="4">
        <v>1</v>
      </c>
      <c r="C225" s="4">
        <v>2.24E-2</v>
      </c>
      <c r="D225" s="4">
        <v>-0.2</v>
      </c>
      <c r="E225" s="4" t="s">
        <v>92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6">
      <c r="A226" s="4" t="s">
        <v>97</v>
      </c>
      <c r="B226" s="4">
        <v>1</v>
      </c>
      <c r="C226" s="4">
        <v>2.24E-2</v>
      </c>
      <c r="D226" s="4">
        <v>-0.3</v>
      </c>
      <c r="E226" s="4" t="s">
        <v>92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6">
      <c r="A227" s="4" t="s">
        <v>98</v>
      </c>
      <c r="B227" s="4">
        <v>1</v>
      </c>
      <c r="C227" s="4">
        <v>1.12E-2</v>
      </c>
      <c r="D227" s="4">
        <v>1.7</v>
      </c>
      <c r="E227" s="4" t="s">
        <v>92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  <c r="P227" s="4"/>
    </row>
    <row r="228" spans="1:16">
      <c r="A228" s="4" t="s">
        <v>98</v>
      </c>
      <c r="B228" s="4">
        <v>1</v>
      </c>
      <c r="C228" s="4">
        <v>1.12E-2</v>
      </c>
      <c r="D228" s="4">
        <v>1.6</v>
      </c>
      <c r="E228" s="4" t="s">
        <v>92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  <c r="P228" s="4"/>
    </row>
    <row r="229" spans="1:16">
      <c r="A229" s="4" t="s">
        <v>98</v>
      </c>
      <c r="B229" s="4">
        <v>1</v>
      </c>
      <c r="C229" s="4">
        <v>1.12E-2</v>
      </c>
      <c r="D229" s="4">
        <v>1.5</v>
      </c>
      <c r="E229" s="4" t="s">
        <v>92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  <c r="P229" s="4"/>
    </row>
    <row r="230" spans="1:16">
      <c r="A230" s="4" t="s">
        <v>98</v>
      </c>
      <c r="B230" s="4">
        <v>1</v>
      </c>
      <c r="C230" s="4">
        <v>1.12E-2</v>
      </c>
      <c r="D230" s="4">
        <v>1.4</v>
      </c>
      <c r="E230" s="4" t="s">
        <v>92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  <c r="P230" s="4"/>
    </row>
    <row r="231" spans="1:16">
      <c r="A231" s="4" t="s">
        <v>98</v>
      </c>
      <c r="B231" s="4">
        <v>1</v>
      </c>
      <c r="C231" s="4">
        <v>1.12E-2</v>
      </c>
      <c r="D231" s="4">
        <v>1.3</v>
      </c>
      <c r="E231" s="4" t="s">
        <v>92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  <c r="P231" s="4"/>
    </row>
    <row r="232" spans="1:16">
      <c r="A232" s="4" t="s">
        <v>98</v>
      </c>
      <c r="B232" s="4">
        <v>1</v>
      </c>
      <c r="C232" s="4">
        <v>1.12E-2</v>
      </c>
      <c r="D232" s="4">
        <v>1.2</v>
      </c>
      <c r="E232" s="4" t="s">
        <v>92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  <c r="P232" s="4"/>
    </row>
    <row r="233" spans="1:16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92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  <c r="P233" s="4"/>
    </row>
    <row r="234" spans="1:16">
      <c r="A234" s="4" t="s">
        <v>98</v>
      </c>
      <c r="B234" s="4">
        <v>1</v>
      </c>
      <c r="C234" s="4">
        <v>1.12E-2</v>
      </c>
      <c r="D234" s="4">
        <v>1</v>
      </c>
      <c r="E234" s="4" t="s">
        <v>92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  <c r="P234" s="4"/>
    </row>
    <row r="235" spans="1:16">
      <c r="A235" s="4" t="s">
        <v>98</v>
      </c>
      <c r="B235" s="4">
        <v>1</v>
      </c>
      <c r="C235" s="4">
        <v>1.12E-2</v>
      </c>
      <c r="D235" s="4">
        <v>0.9</v>
      </c>
      <c r="E235" s="4" t="s">
        <v>92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  <c r="P235" s="4"/>
    </row>
    <row r="236" spans="1:16">
      <c r="A236" s="4" t="s">
        <v>98</v>
      </c>
      <c r="B236" s="4">
        <v>1</v>
      </c>
      <c r="C236" s="4">
        <v>1.12E-2</v>
      </c>
      <c r="D236" s="4">
        <v>0.8</v>
      </c>
      <c r="E236" s="4" t="s">
        <v>92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  <c r="P236" s="4"/>
    </row>
    <row r="237" spans="1:16">
      <c r="A237" s="4" t="s">
        <v>98</v>
      </c>
      <c r="B237" s="4">
        <v>1</v>
      </c>
      <c r="C237" s="4">
        <v>1.12E-2</v>
      </c>
      <c r="D237" s="4">
        <v>0.7</v>
      </c>
      <c r="E237" s="4" t="s">
        <v>92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  <c r="P237" s="4"/>
    </row>
    <row r="238" spans="1:16">
      <c r="A238" s="4" t="s">
        <v>98</v>
      </c>
      <c r="B238" s="4">
        <v>1</v>
      </c>
      <c r="C238" s="4">
        <v>1.12E-2</v>
      </c>
      <c r="D238" s="4">
        <v>0.6</v>
      </c>
      <c r="E238" s="4" t="s">
        <v>92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/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6">
      <c r="A239" s="4" t="s">
        <v>98</v>
      </c>
      <c r="B239" s="4">
        <v>1</v>
      </c>
      <c r="C239" s="4">
        <v>1.12E-2</v>
      </c>
      <c r="D239" s="4">
        <v>0.5</v>
      </c>
      <c r="E239" s="4" t="s">
        <v>92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 t="s">
        <v>26</v>
      </c>
      <c r="L239" s="4"/>
      <c r="M239" s="4"/>
      <c r="N239" s="4"/>
      <c r="O239" s="4"/>
    </row>
    <row r="240" spans="1:16">
      <c r="A240" s="4" t="s">
        <v>98</v>
      </c>
      <c r="B240" s="4">
        <v>1</v>
      </c>
      <c r="C240" s="4">
        <v>1.12E-2</v>
      </c>
      <c r="D240" s="4">
        <v>0.4</v>
      </c>
      <c r="E240" s="4" t="s">
        <v>92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/>
      <c r="L240" s="4"/>
      <c r="M240" s="4"/>
      <c r="N240" s="4"/>
      <c r="O240" s="4"/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92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/>
      <c r="L241" s="4"/>
      <c r="M241" s="4"/>
      <c r="N241" s="4"/>
      <c r="O241" s="4"/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92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/>
      <c r="L242" s="4"/>
      <c r="M242" s="4"/>
      <c r="N242" s="4"/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92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92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92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92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92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92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92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92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92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92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92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92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92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92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92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92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92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92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92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92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92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92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92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92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92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92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54EC-16A8-A24D-A0D1-B9B8C11BB9DC}">
  <dimension ref="A1:O268"/>
  <sheetViews>
    <sheetView workbookViewId="0">
      <pane ySplit="1" topLeftCell="A122" activePane="bottomLeft" state="frozen"/>
      <selection pane="bottomLeft"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100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100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100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100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100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100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100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100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100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100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100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100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100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100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100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100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100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100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 t="s">
        <v>24</v>
      </c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100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/>
      <c r="L20" s="4"/>
      <c r="M20" s="4"/>
      <c r="N20" s="4"/>
      <c r="O20" s="4"/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100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100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100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100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100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100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100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100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100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100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100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100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100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100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100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 t="s">
        <v>17</v>
      </c>
      <c r="M35" s="4" t="s">
        <v>23</v>
      </c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100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/>
      <c r="L36" s="4"/>
      <c r="M36" s="4"/>
      <c r="N36" s="4"/>
      <c r="O36" s="4"/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100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/>
      <c r="L37" s="4"/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100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100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100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100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100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100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100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100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100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100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100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100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100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100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 t="s">
        <v>17</v>
      </c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100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 t="s">
        <v>19</v>
      </c>
      <c r="M52" s="4"/>
      <c r="N52" s="4" t="s">
        <v>23</v>
      </c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100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/>
      <c r="L53" s="4"/>
      <c r="M53" s="4"/>
      <c r="N53" s="4"/>
      <c r="O53" s="4"/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100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100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100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100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100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100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100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100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100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100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100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100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100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100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/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100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/>
      <c r="L68" s="4"/>
      <c r="M68" s="4"/>
      <c r="N68" s="4"/>
      <c r="O68" s="4"/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100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/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100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100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100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100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100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100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100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100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100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100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100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100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100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100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100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100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 t="s">
        <v>21</v>
      </c>
      <c r="M85" s="4"/>
      <c r="N85" s="4" t="s">
        <v>19</v>
      </c>
      <c r="O85" s="4" t="s">
        <v>25</v>
      </c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100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100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100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100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100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100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100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100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100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100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100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100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100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100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100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100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 t="s">
        <v>25</v>
      </c>
      <c r="L102" s="4" t="s">
        <v>18</v>
      </c>
      <c r="M102" s="4"/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100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/>
      <c r="L103" s="4"/>
      <c r="M103" s="4"/>
      <c r="N103" s="4"/>
      <c r="O103" s="4"/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100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100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100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100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100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100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100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100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100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100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100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100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100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100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100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100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100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100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100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100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100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100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100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100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100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100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100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100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100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100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100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100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100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100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 t="s">
        <v>22</v>
      </c>
      <c r="M139" s="4" t="s">
        <v>20</v>
      </c>
      <c r="N139" s="4" t="s">
        <v>25</v>
      </c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100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 t="s">
        <v>23</v>
      </c>
      <c r="L140" s="4" t="s">
        <v>22</v>
      </c>
      <c r="M140" s="4" t="s">
        <v>21</v>
      </c>
      <c r="N140" s="4" t="s">
        <v>20</v>
      </c>
      <c r="O140" s="4" t="s">
        <v>19</v>
      </c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100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/>
      <c r="L141" s="4"/>
      <c r="M141" s="4"/>
      <c r="N141" s="4"/>
      <c r="O141" s="4"/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100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100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100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100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100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100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100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100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100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100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100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100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100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100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100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100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100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100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100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/>
      <c r="L160" s="4"/>
      <c r="M160" s="4" t="s">
        <v>26</v>
      </c>
      <c r="N160" s="4" t="s">
        <v>17</v>
      </c>
      <c r="O160" s="4"/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100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/>
      <c r="L161" s="4"/>
      <c r="M161" s="4"/>
      <c r="N161" s="4"/>
      <c r="O161" s="4"/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100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/>
      <c r="L162" s="4"/>
      <c r="M162" s="4"/>
      <c r="N162" s="4"/>
      <c r="O162" s="4"/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100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100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100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100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100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100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100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100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100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100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100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100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100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100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100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100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100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100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100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 t="s">
        <v>21</v>
      </c>
      <c r="M181" s="4"/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100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/>
      <c r="L182" s="4"/>
      <c r="M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100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100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100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100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100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100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100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100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100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100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100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100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100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100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100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100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100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100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100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 t="s">
        <v>24</v>
      </c>
      <c r="L201" s="4" t="s">
        <v>26</v>
      </c>
      <c r="M201" s="4" t="s">
        <v>19</v>
      </c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100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/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100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100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100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100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100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100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100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100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100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100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100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100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100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100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100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100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100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100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 t="s">
        <v>19</v>
      </c>
      <c r="M220" s="4" t="s">
        <v>18</v>
      </c>
      <c r="N220" s="4" t="s">
        <v>23</v>
      </c>
      <c r="O220" s="4" t="s">
        <v>17</v>
      </c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100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 t="s">
        <v>19</v>
      </c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100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/>
      <c r="L222" s="4"/>
      <c r="M222" s="4"/>
      <c r="N222" s="4"/>
      <c r="O222" s="4"/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100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100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100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100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100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100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100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100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/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100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100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100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100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100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/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100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100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100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/>
      <c r="L238" s="4"/>
      <c r="M238" s="4"/>
      <c r="N238" s="4"/>
      <c r="O238" s="4"/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100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/>
      <c r="L239" s="4"/>
      <c r="M239" s="4"/>
      <c r="N239" s="4"/>
      <c r="O239" s="4"/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100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/>
      <c r="L240" s="4"/>
      <c r="M240" s="4"/>
      <c r="N240" s="4"/>
      <c r="O240" s="4"/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100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/>
      <c r="L241" s="4"/>
      <c r="M241" s="4"/>
      <c r="N241" s="4"/>
      <c r="O241" s="4"/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100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/>
      <c r="L242" s="4"/>
      <c r="M242" s="4"/>
      <c r="N242" s="4"/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100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100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100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100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100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100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100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100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100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100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100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100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100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100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100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100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100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100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100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100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100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100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100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100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100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100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EAE2-BB57-6D45-A52A-E8A117FFD709}">
  <dimension ref="A1:O268"/>
  <sheetViews>
    <sheetView tabSelected="1" workbookViewId="0">
      <pane ySplit="1" topLeftCell="A26" activePane="bottomLeft" state="frozen"/>
      <selection pane="bottomLeft" activeCell="N24" sqref="N24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101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101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101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101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101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101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101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101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101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101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101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101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101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101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101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101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101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101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 t="s">
        <v>24</v>
      </c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101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/>
      <c r="L20" s="4"/>
      <c r="M20" s="4"/>
      <c r="N20" s="4"/>
      <c r="O20" s="4"/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101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101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101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101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101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101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101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101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101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101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101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101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101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101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101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 t="s">
        <v>17</v>
      </c>
      <c r="M35" s="4" t="s">
        <v>23</v>
      </c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101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 t="s">
        <v>20</v>
      </c>
      <c r="L36" s="4" t="s">
        <v>18</v>
      </c>
      <c r="M36" s="4" t="s">
        <v>26</v>
      </c>
      <c r="N36" s="4" t="s">
        <v>23</v>
      </c>
      <c r="O36" s="4" t="s">
        <v>21</v>
      </c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101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/>
      <c r="L37" s="4"/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101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101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101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101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101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101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101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101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101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101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101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101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101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101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 t="s">
        <v>17</v>
      </c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101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/>
      <c r="M52" s="4"/>
      <c r="N52" s="4"/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101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 t="s">
        <v>18</v>
      </c>
      <c r="L53" s="4"/>
      <c r="M53" s="4" t="s">
        <v>24</v>
      </c>
      <c r="N53" s="4"/>
      <c r="O53" s="4" t="s">
        <v>20</v>
      </c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101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101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101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101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101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101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101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101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101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101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101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101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101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101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 t="s">
        <v>22</v>
      </c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101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/>
      <c r="L68" s="4" t="s">
        <v>25</v>
      </c>
      <c r="M68" s="4" t="s">
        <v>21</v>
      </c>
      <c r="N68" s="4" t="s">
        <v>19</v>
      </c>
      <c r="O68" s="4" t="s">
        <v>17</v>
      </c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101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 t="s">
        <v>25</v>
      </c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101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101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101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101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101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101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101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101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101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101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101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101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101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101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101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101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/>
      <c r="M85" s="4"/>
      <c r="N85" s="4" t="s">
        <v>19</v>
      </c>
      <c r="O85" s="4"/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101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 t="s">
        <v>17</v>
      </c>
      <c r="M86" s="4" t="s">
        <v>18</v>
      </c>
      <c r="N86" s="4" t="s">
        <v>22</v>
      </c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101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101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101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101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101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101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101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101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101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101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101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101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101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101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101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101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 t="s">
        <v>25</v>
      </c>
      <c r="L102" s="4" t="s">
        <v>18</v>
      </c>
      <c r="M102" s="4" t="s">
        <v>23</v>
      </c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101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 t="s">
        <v>20</v>
      </c>
      <c r="L103" s="4"/>
      <c r="M103" s="4"/>
      <c r="N103" s="4" t="s">
        <v>22</v>
      </c>
      <c r="O103" s="4" t="s">
        <v>17</v>
      </c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101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101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101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101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101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101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101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101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101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101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101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101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101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101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101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101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101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101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101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101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101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101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101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101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101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101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101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101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101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101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101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101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101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101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 t="s">
        <v>22</v>
      </c>
      <c r="M139" s="4" t="s">
        <v>20</v>
      </c>
      <c r="N139" s="4" t="s">
        <v>25</v>
      </c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101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 t="s">
        <v>23</v>
      </c>
      <c r="L140" s="4" t="s">
        <v>22</v>
      </c>
      <c r="M140" s="4" t="s">
        <v>21</v>
      </c>
      <c r="N140" s="4" t="s">
        <v>20</v>
      </c>
      <c r="O140" s="4" t="s">
        <v>19</v>
      </c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101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 t="s">
        <v>26</v>
      </c>
      <c r="L141" s="4" t="s">
        <v>24</v>
      </c>
      <c r="M141" s="4" t="s">
        <v>25</v>
      </c>
      <c r="N141" s="4" t="s">
        <v>17</v>
      </c>
      <c r="O141" s="4" t="s">
        <v>18</v>
      </c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101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101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101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101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101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101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101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101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101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101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101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101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101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101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101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101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101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101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101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 t="s">
        <v>23</v>
      </c>
      <c r="L160" s="4" t="s">
        <v>22</v>
      </c>
      <c r="M160" s="4" t="s">
        <v>26</v>
      </c>
      <c r="N160" s="4" t="s">
        <v>17</v>
      </c>
      <c r="O160" s="4"/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101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 t="s">
        <v>22</v>
      </c>
      <c r="L161" s="4" t="s">
        <v>18</v>
      </c>
      <c r="M161" s="4"/>
      <c r="N161" s="4" t="s">
        <v>25</v>
      </c>
      <c r="O161" s="4" t="s">
        <v>19</v>
      </c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101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 t="s">
        <v>24</v>
      </c>
      <c r="L162" s="4" t="s">
        <v>22</v>
      </c>
      <c r="M162" s="4"/>
      <c r="N162" s="4" t="s">
        <v>18</v>
      </c>
      <c r="O162" s="4" t="s">
        <v>21</v>
      </c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101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101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101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101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101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101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101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101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101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101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101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101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101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101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101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101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101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101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101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 t="s">
        <v>21</v>
      </c>
      <c r="M181" s="4" t="s">
        <v>25</v>
      </c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101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 t="s">
        <v>22</v>
      </c>
      <c r="L182" s="4" t="s">
        <v>24</v>
      </c>
      <c r="M182" s="4" t="s">
        <v>25</v>
      </c>
      <c r="N182" s="4" t="s">
        <v>23</v>
      </c>
      <c r="O182" s="4" t="s">
        <v>26</v>
      </c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101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 t="s">
        <v>26</v>
      </c>
      <c r="M183" s="4"/>
      <c r="N183" s="4"/>
      <c r="O183" s="4" t="s">
        <v>20</v>
      </c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101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101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101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101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101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101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101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101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101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101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101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101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101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101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101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101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101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101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 t="s">
        <v>24</v>
      </c>
      <c r="L201" s="4" t="s">
        <v>26</v>
      </c>
      <c r="M201" s="4" t="s">
        <v>19</v>
      </c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101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 t="s">
        <v>20</v>
      </c>
      <c r="L202" s="4"/>
      <c r="M202" s="4" t="s">
        <v>21</v>
      </c>
      <c r="N202" s="4" t="s">
        <v>19</v>
      </c>
      <c r="O202" s="4" t="s">
        <v>24</v>
      </c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101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 t="s">
        <v>20</v>
      </c>
      <c r="L203" s="4" t="s">
        <v>19</v>
      </c>
      <c r="M203" s="4"/>
      <c r="N203" s="4"/>
      <c r="O203" s="4" t="s">
        <v>17</v>
      </c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101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101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101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/>
      <c r="L206" s="4"/>
      <c r="M206" s="4"/>
      <c r="N206" s="4"/>
      <c r="O206" s="4"/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101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/>
      <c r="L207" s="4"/>
      <c r="M207" s="4"/>
      <c r="N207" s="4"/>
      <c r="O207" s="4"/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101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/>
      <c r="L208" s="4"/>
      <c r="M208" s="4"/>
      <c r="N208" s="4"/>
      <c r="O208" s="4"/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101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101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101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101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101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101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101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101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101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101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101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101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 t="s">
        <v>19</v>
      </c>
      <c r="M220" s="4" t="s">
        <v>18</v>
      </c>
      <c r="N220" s="4" t="s">
        <v>23</v>
      </c>
      <c r="O220" s="4" t="s">
        <v>17</v>
      </c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101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 t="s">
        <v>19</v>
      </c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101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 t="s">
        <v>18</v>
      </c>
      <c r="L222" s="4" t="s">
        <v>22</v>
      </c>
      <c r="M222" s="4" t="s">
        <v>26</v>
      </c>
      <c r="N222" s="4" t="s">
        <v>21</v>
      </c>
      <c r="O222" s="4" t="s">
        <v>25</v>
      </c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101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101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101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101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101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/>
      <c r="L227" s="4"/>
      <c r="M227" s="4"/>
      <c r="N227" s="4"/>
      <c r="O227" s="4"/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101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/>
      <c r="L228" s="4"/>
      <c r="M228" s="4"/>
      <c r="N228" s="4"/>
      <c r="O228" s="4"/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101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/>
      <c r="L229" s="4"/>
      <c r="M229" s="4"/>
      <c r="N229" s="4"/>
      <c r="O229" s="4"/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101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101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101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101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101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101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101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101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101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 t="s">
        <v>20</v>
      </c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101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 t="s">
        <v>26</v>
      </c>
      <c r="L239" s="4" t="s">
        <v>23</v>
      </c>
      <c r="M239" s="4" t="s">
        <v>20</v>
      </c>
      <c r="N239" s="4" t="s">
        <v>19</v>
      </c>
      <c r="O239" s="4" t="s">
        <v>22</v>
      </c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101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 t="s">
        <v>18</v>
      </c>
      <c r="L240" s="4" t="s">
        <v>21</v>
      </c>
      <c r="M240" s="4" t="s">
        <v>23</v>
      </c>
      <c r="N240" s="4" t="s">
        <v>22</v>
      </c>
      <c r="O240" s="4" t="s">
        <v>19</v>
      </c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101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 t="s">
        <v>20</v>
      </c>
      <c r="L241" s="4" t="s">
        <v>18</v>
      </c>
      <c r="M241" s="4" t="s">
        <v>21</v>
      </c>
      <c r="N241" s="4" t="s">
        <v>17</v>
      </c>
      <c r="O241" s="4" t="s">
        <v>26</v>
      </c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101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 t="s">
        <v>26</v>
      </c>
      <c r="L242" s="4" t="s">
        <v>19</v>
      </c>
      <c r="M242" s="4" t="s">
        <v>17</v>
      </c>
      <c r="N242" s="4" t="s">
        <v>23</v>
      </c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101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101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101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101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101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101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101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101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101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101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101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101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101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101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101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101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101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101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101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101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101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101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101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101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101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101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F947-BA85-1644-8E42-56A8AC512299}">
  <dimension ref="A1:O268"/>
  <sheetViews>
    <sheetView workbookViewId="0">
      <pane ySplit="1" topLeftCell="A2" activePane="bottomLeft" state="frozen"/>
      <selection pane="bottomLeft"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102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102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102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102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102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102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102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102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102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102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102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102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102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102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102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102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102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/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102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/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102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/>
      <c r="L20" s="4"/>
      <c r="M20" s="4"/>
      <c r="N20" s="4"/>
      <c r="O20" s="4"/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102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102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102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102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102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102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102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102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102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102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102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102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102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102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102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/>
      <c r="M35" s="4" t="s">
        <v>23</v>
      </c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102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/>
      <c r="L36" s="4" t="s">
        <v>18</v>
      </c>
      <c r="M36" s="4" t="s">
        <v>26</v>
      </c>
      <c r="N36" s="4" t="s">
        <v>23</v>
      </c>
      <c r="O36" s="4" t="s">
        <v>21</v>
      </c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102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/>
      <c r="L37" s="4"/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102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102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102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102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102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102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102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102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102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102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102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102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102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102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 t="s">
        <v>17</v>
      </c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102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 t="s">
        <v>19</v>
      </c>
      <c r="M52" s="4"/>
      <c r="N52" s="4"/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102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/>
      <c r="L53" s="4"/>
      <c r="M53" s="4"/>
      <c r="N53" s="4"/>
      <c r="O53" s="4"/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102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102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102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102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102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102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102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102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102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102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102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102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102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102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/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102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/>
      <c r="L68" s="4"/>
      <c r="M68" s="4"/>
      <c r="N68" s="4"/>
      <c r="O68" s="4"/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102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/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102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102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102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102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102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102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102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102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102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102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102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102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102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102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102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102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/>
      <c r="L85" s="4" t="s">
        <v>21</v>
      </c>
      <c r="M85" s="4" t="s">
        <v>23</v>
      </c>
      <c r="N85" s="4"/>
      <c r="O85" s="4"/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102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102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102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102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102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102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102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102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102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102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102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102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102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102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102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102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/>
      <c r="L102" s="4" t="s">
        <v>18</v>
      </c>
      <c r="M102" s="4" t="s">
        <v>23</v>
      </c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102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 t="s">
        <v>20</v>
      </c>
      <c r="L103" s="4" t="s">
        <v>25</v>
      </c>
      <c r="M103" s="4"/>
      <c r="N103" s="4" t="s">
        <v>22</v>
      </c>
      <c r="O103" s="4" t="s">
        <v>17</v>
      </c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102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102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102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102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102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102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102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102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102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102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102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102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102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102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102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102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102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102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102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102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102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102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102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102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102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102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102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102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102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102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102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102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102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102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102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 t="s">
        <v>22</v>
      </c>
      <c r="M139" s="4" t="s">
        <v>20</v>
      </c>
      <c r="N139" s="4"/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102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 t="s">
        <v>23</v>
      </c>
      <c r="L140" s="4" t="s">
        <v>22</v>
      </c>
      <c r="M140" s="4" t="s">
        <v>21</v>
      </c>
      <c r="N140" s="4" t="s">
        <v>20</v>
      </c>
      <c r="O140" s="4" t="s">
        <v>19</v>
      </c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102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 t="s">
        <v>26</v>
      </c>
      <c r="L141" s="4"/>
      <c r="M141" s="4" t="s">
        <v>25</v>
      </c>
      <c r="N141" s="4"/>
      <c r="O141" s="4" t="s">
        <v>18</v>
      </c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102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102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102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102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102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102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102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102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102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102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102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102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102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102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102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102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102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102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102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 t="s">
        <v>23</v>
      </c>
      <c r="L160" s="4"/>
      <c r="M160" s="4" t="s">
        <v>26</v>
      </c>
      <c r="N160" s="4" t="s">
        <v>17</v>
      </c>
      <c r="O160" s="4" t="s">
        <v>24</v>
      </c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102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 t="s">
        <v>22</v>
      </c>
      <c r="L161" s="4" t="s">
        <v>18</v>
      </c>
      <c r="M161" s="4" t="s">
        <v>21</v>
      </c>
      <c r="N161" s="4" t="s">
        <v>25</v>
      </c>
      <c r="O161" s="4" t="s">
        <v>19</v>
      </c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102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/>
      <c r="L162" s="4" t="s">
        <v>22</v>
      </c>
      <c r="M162" s="4" t="s">
        <v>17</v>
      </c>
      <c r="N162" s="4"/>
      <c r="O162" s="4" t="s">
        <v>21</v>
      </c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102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102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102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102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102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102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102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102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102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102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102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102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102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102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102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102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102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102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102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 t="s">
        <v>21</v>
      </c>
      <c r="M181" s="4" t="s">
        <v>25</v>
      </c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102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 t="s">
        <v>22</v>
      </c>
      <c r="L182" s="4" t="s">
        <v>24</v>
      </c>
      <c r="M182" s="4" t="s">
        <v>25</v>
      </c>
      <c r="N182" s="4" t="s">
        <v>23</v>
      </c>
      <c r="O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102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102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102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102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102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102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102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102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102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102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102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102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102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102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102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102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102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102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/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102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 t="s">
        <v>24</v>
      </c>
      <c r="L201" s="4" t="s">
        <v>26</v>
      </c>
      <c r="M201" s="4"/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102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/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102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102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102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102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102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102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102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102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102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102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102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102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102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102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102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102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102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102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 t="s">
        <v>19</v>
      </c>
      <c r="M220" s="4" t="s">
        <v>18</v>
      </c>
      <c r="N220" s="4" t="s">
        <v>23</v>
      </c>
      <c r="O220" s="4" t="s">
        <v>17</v>
      </c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102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/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102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 t="s">
        <v>18</v>
      </c>
      <c r="L222" s="4"/>
      <c r="M222" s="4"/>
      <c r="N222" s="4"/>
      <c r="O222" s="4"/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102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102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102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102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102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102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102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102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102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102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102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102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102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102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102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102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 t="s">
        <v>20</v>
      </c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102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/>
      <c r="L239" s="4"/>
      <c r="M239" s="4"/>
      <c r="N239" s="4"/>
      <c r="O239" s="4"/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102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/>
      <c r="L240" s="4"/>
      <c r="M240" s="4"/>
      <c r="N240" s="4"/>
      <c r="O240" s="4"/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102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/>
      <c r="L241" s="4"/>
      <c r="M241" s="4"/>
      <c r="N241" s="4"/>
      <c r="O241" s="4"/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102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/>
      <c r="L242" s="4"/>
      <c r="M242" s="4"/>
      <c r="N242" s="4"/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102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102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102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102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102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102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102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102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102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102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102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102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102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102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102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102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102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102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102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102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102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102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102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102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102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102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FE15-D868-0148-AC48-8D3221FF9205}">
  <dimension ref="A1:O268"/>
  <sheetViews>
    <sheetView workbookViewId="0">
      <selection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103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103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103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103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103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103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103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103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103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103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103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103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103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103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103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103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103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103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 t="s">
        <v>24</v>
      </c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103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 t="s">
        <v>26</v>
      </c>
      <c r="L20" s="4" t="s">
        <v>20</v>
      </c>
      <c r="M20" s="4" t="s">
        <v>23</v>
      </c>
      <c r="N20" s="4" t="s">
        <v>19</v>
      </c>
      <c r="O20" s="4" t="s">
        <v>25</v>
      </c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103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103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103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103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103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103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103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103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103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103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103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103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103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103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103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 t="s">
        <v>17</v>
      </c>
      <c r="M35" s="4" t="s">
        <v>23</v>
      </c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103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 t="s">
        <v>20</v>
      </c>
      <c r="L36" s="4" t="s">
        <v>18</v>
      </c>
      <c r="M36" s="4" t="s">
        <v>26</v>
      </c>
      <c r="N36" s="4" t="s">
        <v>23</v>
      </c>
      <c r="O36" s="4" t="s">
        <v>21</v>
      </c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103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/>
      <c r="L37" s="4"/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103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103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103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103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103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103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103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103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103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103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103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103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103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103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/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103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 t="s">
        <v>19</v>
      </c>
      <c r="M52" s="4" t="s">
        <v>22</v>
      </c>
      <c r="N52" s="4" t="s">
        <v>23</v>
      </c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103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/>
      <c r="L53" s="4"/>
      <c r="M53" s="4"/>
      <c r="N53" s="4"/>
      <c r="O53" s="4"/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103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103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103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103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103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103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103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103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103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103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103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103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103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103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 t="s">
        <v>22</v>
      </c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103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 t="s">
        <v>20</v>
      </c>
      <c r="L68" s="4"/>
      <c r="M68" s="4"/>
      <c r="N68" s="4"/>
      <c r="O68" s="4"/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103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/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103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103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103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103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103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103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103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103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103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103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103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103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103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103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103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103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 t="s">
        <v>21</v>
      </c>
      <c r="M85" s="4"/>
      <c r="N85" s="4"/>
      <c r="O85" s="4"/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103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103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103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103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103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103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103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103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103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103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103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103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103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103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103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103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 t="s">
        <v>25</v>
      </c>
      <c r="L102" s="4" t="s">
        <v>18</v>
      </c>
      <c r="M102" s="4" t="s">
        <v>23</v>
      </c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103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 t="s">
        <v>20</v>
      </c>
      <c r="L103" s="4"/>
      <c r="M103" s="4" t="s">
        <v>26</v>
      </c>
      <c r="N103" s="4" t="s">
        <v>22</v>
      </c>
      <c r="O103" s="4" t="s">
        <v>17</v>
      </c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103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103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103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103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103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103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103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103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103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103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103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103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103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103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103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103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103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103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103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103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103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103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103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103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103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103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103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103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103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103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103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103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103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103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103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103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 t="s">
        <v>22</v>
      </c>
      <c r="M139" s="4" t="s">
        <v>20</v>
      </c>
      <c r="N139" s="4" t="s">
        <v>25</v>
      </c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103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 t="s">
        <v>23</v>
      </c>
      <c r="L140" s="4" t="s">
        <v>22</v>
      </c>
      <c r="M140" s="4" t="s">
        <v>21</v>
      </c>
      <c r="N140" s="4" t="s">
        <v>20</v>
      </c>
      <c r="O140" s="4" t="s">
        <v>19</v>
      </c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103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/>
      <c r="L141" s="4"/>
      <c r="M141" s="4"/>
      <c r="N141" s="4"/>
      <c r="O141" s="4"/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103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103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103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103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103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103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103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103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103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103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103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103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103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103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103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103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103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103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103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/>
      <c r="L160" s="4"/>
      <c r="M160" s="4" t="s">
        <v>26</v>
      </c>
      <c r="N160" s="4" t="s">
        <v>17</v>
      </c>
      <c r="O160" s="4"/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103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/>
      <c r="L161" s="4"/>
      <c r="M161" s="4"/>
      <c r="N161" s="4"/>
      <c r="O161" s="4" t="s">
        <v>19</v>
      </c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103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/>
      <c r="L162" s="4"/>
      <c r="M162" s="4"/>
      <c r="N162" s="4"/>
      <c r="O162" s="4"/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103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103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103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103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103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103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103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103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103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103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103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103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103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103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103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103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103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103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103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/>
      <c r="M181" s="4"/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103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/>
      <c r="L182" s="4"/>
      <c r="M182" s="4"/>
      <c r="N182" s="4"/>
      <c r="O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103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103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103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103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103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103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103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103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103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103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103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103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103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103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103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103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103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103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103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/>
      <c r="L201" s="4" t="s">
        <v>26</v>
      </c>
      <c r="M201" s="4"/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103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/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103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103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103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103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103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103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103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103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103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103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103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103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103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103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103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103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103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103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/>
      <c r="M220" s="4" t="s">
        <v>18</v>
      </c>
      <c r="N220" s="4" t="s">
        <v>23</v>
      </c>
      <c r="O220" s="4"/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103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 t="s">
        <v>19</v>
      </c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103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/>
      <c r="L222" s="4"/>
      <c r="M222" s="4"/>
      <c r="N222" s="4"/>
      <c r="O222" s="4"/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103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103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103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103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103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103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103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103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103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103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103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103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103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103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103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/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103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 t="s">
        <v>20</v>
      </c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103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/>
      <c r="L239" s="4"/>
      <c r="M239" s="4"/>
      <c r="N239" s="4"/>
      <c r="O239" s="4"/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103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/>
      <c r="L240" s="4"/>
      <c r="M240" s="4"/>
      <c r="N240" s="4"/>
      <c r="O240" s="4"/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103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/>
      <c r="L241" s="4"/>
      <c r="M241" s="4"/>
      <c r="N241" s="4"/>
      <c r="O241" s="4"/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103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/>
      <c r="L242" s="4"/>
      <c r="M242" s="4"/>
      <c r="N242" s="4"/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103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103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103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103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103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103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103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103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103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103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103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103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103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103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103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103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103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103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103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103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103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103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103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103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103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103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DA8F-BB9E-C248-B078-906304DDFA6D}">
  <dimension ref="A1:O268"/>
  <sheetViews>
    <sheetView workbookViewId="0">
      <selection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104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104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104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104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104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104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104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104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104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104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104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104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104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104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104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104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104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104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 t="s">
        <v>24</v>
      </c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104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/>
      <c r="L20" s="4"/>
      <c r="M20" s="4"/>
      <c r="N20" s="4"/>
      <c r="O20" s="4"/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104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104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104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104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104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104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104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104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104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104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104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104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104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104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104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 t="s">
        <v>17</v>
      </c>
      <c r="M35" s="4" t="s">
        <v>23</v>
      </c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104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/>
      <c r="L36" s="4" t="s">
        <v>18</v>
      </c>
      <c r="M36" s="4" t="s">
        <v>26</v>
      </c>
      <c r="N36" s="4"/>
      <c r="O36" s="4" t="s">
        <v>21</v>
      </c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104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/>
      <c r="L37" s="4"/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104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104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104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104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104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104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104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104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104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104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104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104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104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104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 t="s">
        <v>17</v>
      </c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104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/>
      <c r="M52" s="4"/>
      <c r="N52" s="4" t="s">
        <v>23</v>
      </c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104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/>
      <c r="L53" s="4"/>
      <c r="M53" s="4"/>
      <c r="N53" s="4"/>
      <c r="O53" s="4"/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104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104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104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104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104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104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104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104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104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104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104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104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104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104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 t="s">
        <v>22</v>
      </c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104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 t="s">
        <v>20</v>
      </c>
      <c r="L68" s="4"/>
      <c r="M68" s="4" t="s">
        <v>21</v>
      </c>
      <c r="N68" s="4" t="s">
        <v>19</v>
      </c>
      <c r="O68" s="4" t="s">
        <v>17</v>
      </c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104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 t="s">
        <v>25</v>
      </c>
      <c r="O69" s="4" t="s">
        <v>26</v>
      </c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104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104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104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104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104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104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104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104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104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104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104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104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104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104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104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104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/>
      <c r="M85" s="4" t="s">
        <v>23</v>
      </c>
      <c r="N85" s="4" t="s">
        <v>19</v>
      </c>
      <c r="O85" s="4"/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104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104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104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104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104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104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104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104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104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104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104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104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104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104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104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104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/>
      <c r="L102" s="4" t="s">
        <v>18</v>
      </c>
      <c r="M102" s="4"/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104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/>
      <c r="L103" s="4"/>
      <c r="M103" s="4"/>
      <c r="N103" s="4"/>
      <c r="O103" s="4"/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104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104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104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104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104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104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104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104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104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104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104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104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104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104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104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104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104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104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104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104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104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104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104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104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104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104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104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104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104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104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104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104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104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104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104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104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 t="s">
        <v>22</v>
      </c>
      <c r="M139" s="4" t="s">
        <v>20</v>
      </c>
      <c r="N139" s="4" t="s">
        <v>25</v>
      </c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104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 t="s">
        <v>23</v>
      </c>
      <c r="L140" s="4" t="s">
        <v>22</v>
      </c>
      <c r="M140" s="4" t="s">
        <v>21</v>
      </c>
      <c r="N140" s="4" t="s">
        <v>20</v>
      </c>
      <c r="O140" s="4" t="s">
        <v>19</v>
      </c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104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/>
      <c r="L141" s="4"/>
      <c r="M141" s="4"/>
      <c r="N141" s="4"/>
      <c r="O141" s="4"/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104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104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104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104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104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104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104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104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104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104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104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104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104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104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104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104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104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104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104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 t="s">
        <v>23</v>
      </c>
      <c r="L160" s="4"/>
      <c r="M160" s="4" t="s">
        <v>26</v>
      </c>
      <c r="N160" s="4" t="s">
        <v>17</v>
      </c>
      <c r="O160" s="4"/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104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/>
      <c r="L161" s="4" t="s">
        <v>18</v>
      </c>
      <c r="M161" s="4" t="s">
        <v>21</v>
      </c>
      <c r="N161" s="4" t="s">
        <v>25</v>
      </c>
      <c r="O161" s="4" t="s">
        <v>19</v>
      </c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104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/>
      <c r="L162" s="4"/>
      <c r="M162" s="4"/>
      <c r="N162" s="4"/>
      <c r="O162" s="4"/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104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104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104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104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104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104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104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104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104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104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104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104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104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104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104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104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104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104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104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/>
      <c r="M181" s="4" t="s">
        <v>25</v>
      </c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104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/>
      <c r="L182" s="4"/>
      <c r="M182" s="4"/>
      <c r="N182" s="4"/>
      <c r="O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104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104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104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104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104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104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104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104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104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104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104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104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104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104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104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104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104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104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104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 t="s">
        <v>24</v>
      </c>
      <c r="L201" s="4" t="s">
        <v>26</v>
      </c>
      <c r="M201" s="4" t="s">
        <v>19</v>
      </c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104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/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104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104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104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104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104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104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104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104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104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104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104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104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104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104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104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104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104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104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 t="s">
        <v>19</v>
      </c>
      <c r="M220" s="4" t="s">
        <v>18</v>
      </c>
      <c r="N220" s="4" t="s">
        <v>23</v>
      </c>
      <c r="O220" s="4" t="s">
        <v>17</v>
      </c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104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 t="s">
        <v>19</v>
      </c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104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 t="s">
        <v>18</v>
      </c>
      <c r="L222" s="4" t="s">
        <v>22</v>
      </c>
      <c r="M222" s="4" t="s">
        <v>26</v>
      </c>
      <c r="N222" s="4"/>
      <c r="O222" s="4" t="s">
        <v>25</v>
      </c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104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104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104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104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104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104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104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104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104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104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104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104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104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104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104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104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 t="s">
        <v>20</v>
      </c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104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 t="s">
        <v>26</v>
      </c>
      <c r="L239" s="4" t="s">
        <v>23</v>
      </c>
      <c r="M239" s="4" t="s">
        <v>20</v>
      </c>
      <c r="N239" s="4" t="s">
        <v>19</v>
      </c>
      <c r="O239" s="4" t="s">
        <v>22</v>
      </c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104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 t="s">
        <v>18</v>
      </c>
      <c r="L240" s="4" t="s">
        <v>21</v>
      </c>
      <c r="M240" s="4" t="s">
        <v>23</v>
      </c>
      <c r="N240" s="4" t="s">
        <v>22</v>
      </c>
      <c r="O240" s="4" t="s">
        <v>19</v>
      </c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104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/>
      <c r="L241" s="4"/>
      <c r="M241" s="4"/>
      <c r="N241" s="4"/>
      <c r="O241" s="4"/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104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/>
      <c r="L242" s="4"/>
      <c r="M242" s="4"/>
      <c r="N242" s="4"/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104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104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104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104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104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104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104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104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104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104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104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104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104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104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104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104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104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104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104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104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104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104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104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104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104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104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E437-8CD0-8545-A50D-08C283F8680C}">
  <dimension ref="A1:O268"/>
  <sheetViews>
    <sheetView workbookViewId="0">
      <selection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105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105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105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105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105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105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105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105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105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105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105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105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105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105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105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105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105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105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 t="s">
        <v>24</v>
      </c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105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 t="s">
        <v>26</v>
      </c>
      <c r="L20" s="4"/>
      <c r="M20" s="4" t="s">
        <v>23</v>
      </c>
      <c r="N20" s="4"/>
      <c r="O20" s="4"/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105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105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105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105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105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105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105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105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105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105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105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105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105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/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105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/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105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/>
      <c r="M35" s="4"/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105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/>
      <c r="L36" s="4"/>
      <c r="M36" s="4"/>
      <c r="N36" s="4"/>
      <c r="O36" s="4"/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105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/>
      <c r="L37" s="4"/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105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105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105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105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105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105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105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105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105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105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105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105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105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/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105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/>
      <c r="L51" s="4" t="s">
        <v>24</v>
      </c>
      <c r="M51" s="4" t="s">
        <v>26</v>
      </c>
      <c r="N51" s="4" t="s">
        <v>20</v>
      </c>
      <c r="O51" s="4"/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105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/>
      <c r="L52" s="4"/>
      <c r="M52" s="4"/>
      <c r="N52" s="4"/>
      <c r="O52" s="4"/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105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/>
      <c r="L53" s="4"/>
      <c r="M53" s="4"/>
      <c r="N53" s="4"/>
      <c r="O53" s="4"/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105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105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105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105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105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105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105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105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105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105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105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105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105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105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 t="s">
        <v>22</v>
      </c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105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 t="s">
        <v>20</v>
      </c>
      <c r="L68" s="4" t="s">
        <v>25</v>
      </c>
      <c r="M68" s="4"/>
      <c r="N68" s="4"/>
      <c r="O68" s="4"/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105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/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105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105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105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105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105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105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105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105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105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105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105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105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105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105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105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105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/>
      <c r="M85" s="4"/>
      <c r="N85" s="4" t="s">
        <v>19</v>
      </c>
      <c r="O85" s="4" t="s">
        <v>25</v>
      </c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105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105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105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105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105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105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105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105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105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105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105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105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105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105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105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105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105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 t="s">
        <v>25</v>
      </c>
      <c r="L102" s="4" t="s">
        <v>18</v>
      </c>
      <c r="M102" s="4"/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105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/>
      <c r="L103" s="4"/>
      <c r="M103" s="4"/>
      <c r="N103" s="4"/>
      <c r="O103" s="4"/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105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105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105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105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105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105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105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105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105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105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105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105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105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105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105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105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105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105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105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105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105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105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105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105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105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105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105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105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105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105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105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105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105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105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105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105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/>
      <c r="L139" s="4"/>
      <c r="M139" s="4"/>
      <c r="N139" s="4"/>
      <c r="O139" s="4"/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105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/>
      <c r="L140" s="4"/>
      <c r="M140" s="4"/>
      <c r="N140" s="4"/>
      <c r="O140" s="4"/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105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/>
      <c r="L141" s="4"/>
      <c r="M141" s="4"/>
      <c r="N141" s="4"/>
      <c r="O141" s="4"/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105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105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105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105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105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105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105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105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105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105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105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105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105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105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105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105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105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105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105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 t="s">
        <v>23</v>
      </c>
      <c r="L160" s="4"/>
      <c r="M160" s="4" t="s">
        <v>26</v>
      </c>
      <c r="N160" s="4" t="s">
        <v>17</v>
      </c>
      <c r="O160" s="4" t="s">
        <v>24</v>
      </c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105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 t="s">
        <v>22</v>
      </c>
      <c r="L161" s="4" t="s">
        <v>18</v>
      </c>
      <c r="M161" s="4"/>
      <c r="N161" s="4"/>
      <c r="O161" s="4" t="s">
        <v>19</v>
      </c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105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/>
      <c r="L162" s="4"/>
      <c r="M162" s="4"/>
      <c r="N162" s="4"/>
      <c r="O162" s="4"/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105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105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105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105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105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105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105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105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105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105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105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105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105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105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105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105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105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105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105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/>
      <c r="M181" s="4" t="s">
        <v>25</v>
      </c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105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/>
      <c r="L182" s="4"/>
      <c r="M182" s="4"/>
      <c r="N182" s="4"/>
      <c r="O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105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105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105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105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105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105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105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105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105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105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105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105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105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105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105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105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105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105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105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 t="s">
        <v>24</v>
      </c>
      <c r="L201" s="4" t="s">
        <v>26</v>
      </c>
      <c r="M201" s="4" t="s">
        <v>19</v>
      </c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105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/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105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105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105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105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105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105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105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105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105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105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105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105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105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105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105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105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105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105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 t="s">
        <v>19</v>
      </c>
      <c r="M220" s="4" t="s">
        <v>18</v>
      </c>
      <c r="N220" s="4" t="s">
        <v>23</v>
      </c>
      <c r="O220" s="4" t="s">
        <v>17</v>
      </c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105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/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105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 t="s">
        <v>18</v>
      </c>
      <c r="L222" s="4" t="s">
        <v>22</v>
      </c>
      <c r="M222" s="4" t="s">
        <v>26</v>
      </c>
      <c r="N222" s="4" t="s">
        <v>21</v>
      </c>
      <c r="O222" s="4"/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105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105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105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105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105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105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105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105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105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105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105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105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105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105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105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105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 t="s">
        <v>20</v>
      </c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105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 t="s">
        <v>26</v>
      </c>
      <c r="L239" s="4" t="s">
        <v>23</v>
      </c>
      <c r="M239" s="4" t="s">
        <v>20</v>
      </c>
      <c r="N239" s="4" t="s">
        <v>19</v>
      </c>
      <c r="O239" s="4" t="s">
        <v>22</v>
      </c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105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 t="s">
        <v>18</v>
      </c>
      <c r="L240" s="4" t="s">
        <v>21</v>
      </c>
      <c r="M240" s="4" t="s">
        <v>23</v>
      </c>
      <c r="N240" s="4" t="s">
        <v>22</v>
      </c>
      <c r="O240" s="4" t="s">
        <v>19</v>
      </c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105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/>
      <c r="L241" s="4" t="s">
        <v>18</v>
      </c>
      <c r="M241" s="4" t="s">
        <v>21</v>
      </c>
      <c r="N241" s="4" t="s">
        <v>17</v>
      </c>
      <c r="O241" s="4" t="s">
        <v>26</v>
      </c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105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/>
      <c r="L242" s="4"/>
      <c r="M242" s="4"/>
      <c r="N242" s="4"/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105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105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105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105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105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105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105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105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105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105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105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105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105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105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105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105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105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105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105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105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105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105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105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105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105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105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6B40-400C-514A-95CC-CCE73B4A9B60}">
  <dimension ref="A1:O268"/>
  <sheetViews>
    <sheetView workbookViewId="0">
      <selection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106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106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106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106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106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106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106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106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106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106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106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106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106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106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106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106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106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106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 t="s">
        <v>24</v>
      </c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106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 t="s">
        <v>26</v>
      </c>
      <c r="L20" s="4" t="s">
        <v>20</v>
      </c>
      <c r="M20" s="4" t="s">
        <v>23</v>
      </c>
      <c r="N20" s="4" t="s">
        <v>19</v>
      </c>
      <c r="O20" s="4" t="s">
        <v>25</v>
      </c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106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 t="s">
        <v>23</v>
      </c>
      <c r="M21" s="4" t="s">
        <v>24</v>
      </c>
      <c r="N21" s="4"/>
      <c r="O21" s="4" t="s">
        <v>25</v>
      </c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106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106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106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106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106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106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106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106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106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106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106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106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106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106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 t="s">
        <v>17</v>
      </c>
      <c r="M35" s="4" t="s">
        <v>23</v>
      </c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106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 t="s">
        <v>20</v>
      </c>
      <c r="L36" s="4" t="s">
        <v>18</v>
      </c>
      <c r="M36" s="4" t="s">
        <v>26</v>
      </c>
      <c r="N36" s="4" t="s">
        <v>23</v>
      </c>
      <c r="O36" s="4" t="s">
        <v>21</v>
      </c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106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 t="s">
        <v>21</v>
      </c>
      <c r="L37" s="4" t="s">
        <v>18</v>
      </c>
      <c r="M37" s="4"/>
      <c r="N37" s="4" t="s">
        <v>26</v>
      </c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106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106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106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106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106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106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106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106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106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106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106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106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106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106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 t="s">
        <v>17</v>
      </c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106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 t="s">
        <v>19</v>
      </c>
      <c r="M52" s="4" t="s">
        <v>22</v>
      </c>
      <c r="N52" s="4" t="s">
        <v>23</v>
      </c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106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 t="s">
        <v>18</v>
      </c>
      <c r="L53" s="4"/>
      <c r="M53" s="4" t="s">
        <v>24</v>
      </c>
      <c r="N53" s="4" t="s">
        <v>23</v>
      </c>
      <c r="O53" s="4" t="s">
        <v>20</v>
      </c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106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106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106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106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106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106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106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106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106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106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106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106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106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106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 t="s">
        <v>22</v>
      </c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106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 t="s">
        <v>20</v>
      </c>
      <c r="L68" s="4" t="s">
        <v>25</v>
      </c>
      <c r="M68" s="4" t="s">
        <v>21</v>
      </c>
      <c r="N68" s="4" t="s">
        <v>19</v>
      </c>
      <c r="O68" s="4" t="s">
        <v>17</v>
      </c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106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/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106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106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106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106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106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106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106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106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106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106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106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106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106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106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106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106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/>
      <c r="M85" s="4" t="s">
        <v>23</v>
      </c>
      <c r="N85" s="4" t="s">
        <v>19</v>
      </c>
      <c r="O85" s="4" t="s">
        <v>25</v>
      </c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106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106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106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106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106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106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106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106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106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106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106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106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106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106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106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106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106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 t="s">
        <v>25</v>
      </c>
      <c r="L102" s="4" t="s">
        <v>18</v>
      </c>
      <c r="M102" s="4" t="s">
        <v>23</v>
      </c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106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 t="s">
        <v>20</v>
      </c>
      <c r="L103" s="4" t="s">
        <v>25</v>
      </c>
      <c r="M103" s="4" t="s">
        <v>26</v>
      </c>
      <c r="N103" s="4"/>
      <c r="O103" s="4" t="s">
        <v>17</v>
      </c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106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106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106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106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106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106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106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106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106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106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106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106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106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106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106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106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106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106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106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106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106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106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106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106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106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106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106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106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106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106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106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106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106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106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106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106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 t="s">
        <v>22</v>
      </c>
      <c r="M139" s="4" t="s">
        <v>20</v>
      </c>
      <c r="N139" s="4" t="s">
        <v>25</v>
      </c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106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 t="s">
        <v>23</v>
      </c>
      <c r="L140" s="4" t="s">
        <v>22</v>
      </c>
      <c r="M140" s="4" t="s">
        <v>21</v>
      </c>
      <c r="N140" s="4" t="s">
        <v>20</v>
      </c>
      <c r="O140" s="4" t="s">
        <v>19</v>
      </c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106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 t="s">
        <v>26</v>
      </c>
      <c r="L141" s="4" t="s">
        <v>24</v>
      </c>
      <c r="M141" s="4" t="s">
        <v>25</v>
      </c>
      <c r="N141" s="4"/>
      <c r="O141" s="4" t="s">
        <v>18</v>
      </c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106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106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106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106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106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106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106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106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106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106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106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106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106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106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106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106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106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106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106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 t="s">
        <v>23</v>
      </c>
      <c r="L160" s="4" t="s">
        <v>22</v>
      </c>
      <c r="M160" s="4" t="s">
        <v>26</v>
      </c>
      <c r="N160" s="4" t="s">
        <v>17</v>
      </c>
      <c r="O160" s="4" t="s">
        <v>24</v>
      </c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106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 t="s">
        <v>22</v>
      </c>
      <c r="L161" s="4" t="s">
        <v>18</v>
      </c>
      <c r="M161" s="4" t="s">
        <v>21</v>
      </c>
      <c r="N161" s="4" t="s">
        <v>25</v>
      </c>
      <c r="O161" s="4" t="s">
        <v>19</v>
      </c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106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 t="s">
        <v>24</v>
      </c>
      <c r="L162" s="4"/>
      <c r="M162" s="4"/>
      <c r="N162" s="4"/>
      <c r="O162" s="4" t="s">
        <v>21</v>
      </c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106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106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106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106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106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106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106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106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106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106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106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106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106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106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106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106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106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106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106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/>
      <c r="M181" s="4"/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106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/>
      <c r="L182" s="4"/>
      <c r="M182" s="4"/>
      <c r="N182" s="4"/>
      <c r="O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106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106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106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106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106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106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106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106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106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106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106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106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106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106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106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106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106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106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106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 t="s">
        <v>24</v>
      </c>
      <c r="L201" s="4" t="s">
        <v>26</v>
      </c>
      <c r="M201" s="4" t="s">
        <v>19</v>
      </c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106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 t="s">
        <v>20</v>
      </c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106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106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106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106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106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106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106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106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106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106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106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106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106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106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106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106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106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106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 t="s">
        <v>19</v>
      </c>
      <c r="M220" s="4" t="s">
        <v>18</v>
      </c>
      <c r="N220" s="4" t="s">
        <v>23</v>
      </c>
      <c r="O220" s="4"/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106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 t="s">
        <v>22</v>
      </c>
      <c r="L221" s="4" t="s">
        <v>20</v>
      </c>
      <c r="M221" s="4" t="s">
        <v>24</v>
      </c>
      <c r="N221" s="4" t="s">
        <v>23</v>
      </c>
      <c r="O221" s="4" t="s">
        <v>19</v>
      </c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106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/>
      <c r="L222" s="4"/>
      <c r="M222" s="4" t="s">
        <v>26</v>
      </c>
      <c r="N222" s="4"/>
      <c r="O222" s="4" t="s">
        <v>25</v>
      </c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106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106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106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106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106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106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106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106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106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106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106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106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106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106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106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106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 t="s">
        <v>20</v>
      </c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106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 t="s">
        <v>26</v>
      </c>
      <c r="L239" s="4" t="s">
        <v>23</v>
      </c>
      <c r="M239" s="4" t="s">
        <v>20</v>
      </c>
      <c r="N239" s="4"/>
      <c r="O239" s="4" t="s">
        <v>22</v>
      </c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106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/>
      <c r="L240" s="4" t="s">
        <v>21</v>
      </c>
      <c r="M240" s="4" t="s">
        <v>23</v>
      </c>
      <c r="N240" s="4" t="s">
        <v>22</v>
      </c>
      <c r="O240" s="4" t="s">
        <v>19</v>
      </c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106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 t="s">
        <v>20</v>
      </c>
      <c r="L241" s="4" t="s">
        <v>18</v>
      </c>
      <c r="M241" s="4" t="s">
        <v>21</v>
      </c>
      <c r="N241" s="4" t="s">
        <v>17</v>
      </c>
      <c r="O241" s="4" t="s">
        <v>26</v>
      </c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106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 t="s">
        <v>26</v>
      </c>
      <c r="L242" s="4" t="s">
        <v>19</v>
      </c>
      <c r="M242" s="4"/>
      <c r="N242" s="4" t="s">
        <v>23</v>
      </c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106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106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106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106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106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106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106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106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106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106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106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106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106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106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106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106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106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106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106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106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106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106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106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106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106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106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1E4F-7812-FA4F-9F54-CA68CD4607E0}">
  <dimension ref="A1:O268"/>
  <sheetViews>
    <sheetView workbookViewId="0">
      <selection activeCell="B1" sqref="B1:B1048576"/>
    </sheetView>
  </sheetViews>
  <sheetFormatPr defaultColWidth="11" defaultRowHeight="15.9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85</v>
      </c>
      <c r="B2">
        <v>1</v>
      </c>
      <c r="C2">
        <v>1</v>
      </c>
      <c r="D2" s="4">
        <v>1.6</v>
      </c>
      <c r="E2" s="4" t="s">
        <v>107</v>
      </c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>
      <c r="A3" s="4" t="s">
        <v>85</v>
      </c>
      <c r="B3">
        <v>1</v>
      </c>
      <c r="C3">
        <v>1</v>
      </c>
      <c r="D3" s="4">
        <v>1.5</v>
      </c>
      <c r="E3" s="4" t="s">
        <v>107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 t="s">
        <v>85</v>
      </c>
      <c r="B4">
        <v>1</v>
      </c>
      <c r="C4">
        <v>1</v>
      </c>
      <c r="D4" s="4">
        <v>1.4</v>
      </c>
      <c r="E4" s="4" t="s">
        <v>107</v>
      </c>
      <c r="F4" s="4" t="s">
        <v>20</v>
      </c>
      <c r="G4" s="4" t="s">
        <v>22</v>
      </c>
      <c r="H4" s="4" t="s">
        <v>25</v>
      </c>
      <c r="I4" s="4" t="s">
        <v>21</v>
      </c>
      <c r="J4" s="4" t="s">
        <v>24</v>
      </c>
      <c r="K4" s="4" t="s">
        <v>20</v>
      </c>
      <c r="L4" s="4" t="s">
        <v>22</v>
      </c>
      <c r="M4" s="4" t="s">
        <v>25</v>
      </c>
      <c r="N4" s="4" t="s">
        <v>21</v>
      </c>
      <c r="O4" s="4" t="s">
        <v>24</v>
      </c>
    </row>
    <row r="5" spans="1:15">
      <c r="A5" s="4" t="s">
        <v>85</v>
      </c>
      <c r="B5">
        <v>1</v>
      </c>
      <c r="C5">
        <v>1</v>
      </c>
      <c r="D5" s="4">
        <v>1.3</v>
      </c>
      <c r="E5" s="4" t="s">
        <v>107</v>
      </c>
      <c r="F5" s="4" t="s">
        <v>20</v>
      </c>
      <c r="G5" s="4" t="s">
        <v>17</v>
      </c>
      <c r="H5" s="4" t="s">
        <v>25</v>
      </c>
      <c r="I5" s="4" t="s">
        <v>23</v>
      </c>
      <c r="J5" s="4" t="s">
        <v>18</v>
      </c>
      <c r="K5" s="4" t="s">
        <v>20</v>
      </c>
      <c r="L5" s="4" t="s">
        <v>17</v>
      </c>
      <c r="M5" s="4" t="s">
        <v>25</v>
      </c>
      <c r="N5" s="4" t="s">
        <v>23</v>
      </c>
      <c r="O5" s="4" t="s">
        <v>18</v>
      </c>
    </row>
    <row r="6" spans="1:15">
      <c r="A6" s="4" t="s">
        <v>85</v>
      </c>
      <c r="B6">
        <v>1</v>
      </c>
      <c r="C6">
        <v>1</v>
      </c>
      <c r="D6" s="4">
        <v>1.2</v>
      </c>
      <c r="E6" s="4" t="s">
        <v>107</v>
      </c>
      <c r="F6" s="4" t="s">
        <v>19</v>
      </c>
      <c r="G6" s="4" t="s">
        <v>26</v>
      </c>
      <c r="H6" s="4" t="s">
        <v>21</v>
      </c>
      <c r="I6" s="4" t="s">
        <v>18</v>
      </c>
      <c r="J6" s="4" t="s">
        <v>17</v>
      </c>
      <c r="K6" s="4" t="s">
        <v>19</v>
      </c>
      <c r="L6" s="4" t="s">
        <v>26</v>
      </c>
      <c r="M6" s="4" t="s">
        <v>21</v>
      </c>
      <c r="N6" s="4" t="s">
        <v>18</v>
      </c>
      <c r="O6" s="4" t="s">
        <v>17</v>
      </c>
    </row>
    <row r="7" spans="1:15">
      <c r="A7" s="4" t="s">
        <v>85</v>
      </c>
      <c r="B7">
        <v>1</v>
      </c>
      <c r="C7">
        <v>1</v>
      </c>
      <c r="D7" s="4">
        <v>1.1000000000000001</v>
      </c>
      <c r="E7" s="4" t="s">
        <v>107</v>
      </c>
      <c r="F7" s="4" t="s">
        <v>24</v>
      </c>
      <c r="G7" s="4" t="s">
        <v>19</v>
      </c>
      <c r="H7" s="4" t="s">
        <v>17</v>
      </c>
      <c r="I7" s="4" t="s">
        <v>25</v>
      </c>
      <c r="J7" s="4" t="s">
        <v>20</v>
      </c>
      <c r="K7" s="4" t="s">
        <v>24</v>
      </c>
      <c r="L7" s="4" t="s">
        <v>19</v>
      </c>
      <c r="M7" s="4" t="s">
        <v>17</v>
      </c>
      <c r="N7" s="4" t="s">
        <v>25</v>
      </c>
      <c r="O7" s="4" t="s">
        <v>20</v>
      </c>
    </row>
    <row r="8" spans="1:15">
      <c r="A8" s="4" t="s">
        <v>85</v>
      </c>
      <c r="B8">
        <v>1</v>
      </c>
      <c r="C8">
        <v>1</v>
      </c>
      <c r="D8" s="4">
        <v>1</v>
      </c>
      <c r="E8" s="4" t="s">
        <v>107</v>
      </c>
      <c r="F8" s="4" t="s">
        <v>24</v>
      </c>
      <c r="G8" s="4" t="s">
        <v>23</v>
      </c>
      <c r="H8" s="4" t="s">
        <v>26</v>
      </c>
      <c r="I8" s="4" t="s">
        <v>17</v>
      </c>
      <c r="J8" s="4" t="s">
        <v>21</v>
      </c>
      <c r="K8" s="4" t="s">
        <v>24</v>
      </c>
      <c r="L8" s="4" t="s">
        <v>23</v>
      </c>
      <c r="M8" s="4" t="s">
        <v>26</v>
      </c>
      <c r="N8" s="4" t="s">
        <v>17</v>
      </c>
      <c r="O8" s="4" t="s">
        <v>21</v>
      </c>
    </row>
    <row r="9" spans="1:15">
      <c r="A9" s="4" t="s">
        <v>85</v>
      </c>
      <c r="B9">
        <v>1</v>
      </c>
      <c r="C9">
        <v>1</v>
      </c>
      <c r="D9" s="4">
        <v>0.9</v>
      </c>
      <c r="E9" s="4" t="s">
        <v>107</v>
      </c>
      <c r="F9" s="4" t="s">
        <v>21</v>
      </c>
      <c r="G9" s="4" t="s">
        <v>18</v>
      </c>
      <c r="H9" s="4" t="s">
        <v>19</v>
      </c>
      <c r="I9" s="4" t="s">
        <v>26</v>
      </c>
      <c r="J9" s="4" t="s">
        <v>22</v>
      </c>
      <c r="K9" s="4" t="s">
        <v>21</v>
      </c>
      <c r="L9" s="4" t="s">
        <v>18</v>
      </c>
      <c r="M9" s="4" t="s">
        <v>19</v>
      </c>
      <c r="N9" s="4" t="s">
        <v>26</v>
      </c>
      <c r="O9" s="4" t="s">
        <v>22</v>
      </c>
    </row>
    <row r="10" spans="1:15">
      <c r="A10" s="4" t="s">
        <v>85</v>
      </c>
      <c r="B10">
        <v>1</v>
      </c>
      <c r="C10">
        <v>1</v>
      </c>
      <c r="D10" s="4">
        <v>0.8</v>
      </c>
      <c r="E10" s="4" t="s">
        <v>107</v>
      </c>
      <c r="F10" s="4" t="s">
        <v>25</v>
      </c>
      <c r="G10" s="4" t="s">
        <v>23</v>
      </c>
      <c r="H10" s="4" t="s">
        <v>21</v>
      </c>
      <c r="I10" s="4" t="s">
        <v>19</v>
      </c>
      <c r="J10" s="4" t="s">
        <v>20</v>
      </c>
      <c r="K10" s="4" t="s">
        <v>25</v>
      </c>
      <c r="L10" s="4" t="s">
        <v>23</v>
      </c>
      <c r="M10" s="4" t="s">
        <v>21</v>
      </c>
      <c r="N10" s="4" t="s">
        <v>19</v>
      </c>
      <c r="O10" s="4" t="s">
        <v>20</v>
      </c>
    </row>
    <row r="11" spans="1:15">
      <c r="A11" s="4" t="s">
        <v>85</v>
      </c>
      <c r="B11">
        <v>1</v>
      </c>
      <c r="C11">
        <v>1</v>
      </c>
      <c r="D11" s="4">
        <v>0.7</v>
      </c>
      <c r="E11" s="4" t="s">
        <v>107</v>
      </c>
      <c r="F11" s="4" t="s">
        <v>20</v>
      </c>
      <c r="G11" s="4" t="s">
        <v>17</v>
      </c>
      <c r="H11" s="4" t="s">
        <v>18</v>
      </c>
      <c r="I11" s="4" t="s">
        <v>23</v>
      </c>
      <c r="J11" s="4" t="s">
        <v>26</v>
      </c>
      <c r="K11" s="4" t="s">
        <v>20</v>
      </c>
      <c r="L11" s="4" t="s">
        <v>17</v>
      </c>
      <c r="M11" s="4" t="s">
        <v>18</v>
      </c>
      <c r="N11" s="4" t="s">
        <v>23</v>
      </c>
      <c r="O11" s="4" t="s">
        <v>26</v>
      </c>
    </row>
    <row r="12" spans="1:15">
      <c r="A12" s="4" t="s">
        <v>85</v>
      </c>
      <c r="B12">
        <v>1</v>
      </c>
      <c r="C12">
        <v>1</v>
      </c>
      <c r="D12" s="4">
        <v>0.6</v>
      </c>
      <c r="E12" s="4" t="s">
        <v>107</v>
      </c>
      <c r="F12" s="4" t="s">
        <v>18</v>
      </c>
      <c r="G12" s="4" t="s">
        <v>19</v>
      </c>
      <c r="H12" s="4" t="s">
        <v>17</v>
      </c>
      <c r="I12" s="4" t="s">
        <v>20</v>
      </c>
      <c r="J12" s="4" t="s">
        <v>26</v>
      </c>
      <c r="K12" s="4" t="s">
        <v>18</v>
      </c>
      <c r="L12" s="4" t="s">
        <v>19</v>
      </c>
      <c r="M12" s="4" t="s">
        <v>17</v>
      </c>
      <c r="N12" s="4" t="s">
        <v>20</v>
      </c>
      <c r="O12" s="4" t="s">
        <v>26</v>
      </c>
    </row>
    <row r="13" spans="1:15">
      <c r="A13" s="4" t="s">
        <v>85</v>
      </c>
      <c r="B13">
        <v>1</v>
      </c>
      <c r="C13">
        <v>1</v>
      </c>
      <c r="D13" s="4">
        <v>0.5</v>
      </c>
      <c r="E13" s="4" t="s">
        <v>107</v>
      </c>
      <c r="F13" s="4" t="s">
        <v>17</v>
      </c>
      <c r="G13" s="4" t="s">
        <v>24</v>
      </c>
      <c r="H13" s="4" t="s">
        <v>25</v>
      </c>
      <c r="I13" s="4" t="s">
        <v>22</v>
      </c>
      <c r="J13" s="4" t="s">
        <v>23</v>
      </c>
      <c r="K13" s="4" t="s">
        <v>17</v>
      </c>
      <c r="L13" s="4" t="s">
        <v>24</v>
      </c>
      <c r="M13" s="4" t="s">
        <v>25</v>
      </c>
      <c r="N13" s="4" t="s">
        <v>22</v>
      </c>
      <c r="O13" s="4" t="s">
        <v>23</v>
      </c>
    </row>
    <row r="14" spans="1:15">
      <c r="A14" s="4" t="s">
        <v>85</v>
      </c>
      <c r="B14">
        <v>1</v>
      </c>
      <c r="C14">
        <v>1</v>
      </c>
      <c r="D14" s="4">
        <v>0.4</v>
      </c>
      <c r="E14" s="4" t="s">
        <v>107</v>
      </c>
      <c r="F14" s="4" t="s">
        <v>18</v>
      </c>
      <c r="G14" s="4" t="s">
        <v>19</v>
      </c>
      <c r="H14" s="4" t="s">
        <v>24</v>
      </c>
      <c r="I14" s="4" t="s">
        <v>22</v>
      </c>
      <c r="J14" s="4" t="s">
        <v>26</v>
      </c>
      <c r="K14" s="4" t="s">
        <v>18</v>
      </c>
      <c r="L14" s="4" t="s">
        <v>19</v>
      </c>
      <c r="M14" s="4" t="s">
        <v>24</v>
      </c>
      <c r="N14" s="4" t="s">
        <v>22</v>
      </c>
      <c r="O14" s="4" t="s">
        <v>26</v>
      </c>
    </row>
    <row r="15" spans="1:15">
      <c r="A15" s="4" t="s">
        <v>85</v>
      </c>
      <c r="B15">
        <v>1</v>
      </c>
      <c r="C15">
        <v>1</v>
      </c>
      <c r="D15" s="4">
        <v>0.3</v>
      </c>
      <c r="E15" s="4" t="s">
        <v>107</v>
      </c>
      <c r="F15" s="4" t="s">
        <v>22</v>
      </c>
      <c r="G15" s="4" t="s">
        <v>25</v>
      </c>
      <c r="H15" s="4" t="s">
        <v>17</v>
      </c>
      <c r="I15" s="4" t="s">
        <v>18</v>
      </c>
      <c r="J15" s="4" t="s">
        <v>21</v>
      </c>
      <c r="K15" s="4" t="s">
        <v>22</v>
      </c>
      <c r="L15" s="4" t="s">
        <v>25</v>
      </c>
      <c r="M15" s="4" t="s">
        <v>17</v>
      </c>
      <c r="N15" s="4" t="s">
        <v>18</v>
      </c>
      <c r="O15" s="4" t="s">
        <v>21</v>
      </c>
    </row>
    <row r="16" spans="1:15">
      <c r="A16" s="4" t="s">
        <v>85</v>
      </c>
      <c r="B16">
        <v>1</v>
      </c>
      <c r="C16">
        <v>1</v>
      </c>
      <c r="D16" s="4">
        <v>0.2</v>
      </c>
      <c r="E16" s="4" t="s">
        <v>107</v>
      </c>
      <c r="F16" s="4" t="s">
        <v>20</v>
      </c>
      <c r="G16" s="4" t="s">
        <v>26</v>
      </c>
      <c r="H16" s="4" t="s">
        <v>24</v>
      </c>
      <c r="I16" s="4" t="s">
        <v>22</v>
      </c>
      <c r="J16" s="4" t="s">
        <v>23</v>
      </c>
      <c r="K16" s="4" t="s">
        <v>20</v>
      </c>
      <c r="L16" s="4" t="s">
        <v>26</v>
      </c>
      <c r="M16" s="4" t="s">
        <v>24</v>
      </c>
      <c r="N16" s="4" t="s">
        <v>22</v>
      </c>
      <c r="O16" s="4" t="s">
        <v>23</v>
      </c>
    </row>
    <row r="17" spans="1:15">
      <c r="A17" s="4" t="s">
        <v>85</v>
      </c>
      <c r="B17">
        <v>1</v>
      </c>
      <c r="C17">
        <v>1</v>
      </c>
      <c r="D17" s="4">
        <v>0.1</v>
      </c>
      <c r="E17" s="4" t="s">
        <v>107</v>
      </c>
      <c r="F17" s="4" t="s">
        <v>20</v>
      </c>
      <c r="G17" s="4" t="s">
        <v>21</v>
      </c>
      <c r="H17" s="4" t="s">
        <v>18</v>
      </c>
      <c r="I17" s="4" t="s">
        <v>25</v>
      </c>
      <c r="J17" s="4" t="s">
        <v>26</v>
      </c>
      <c r="K17" s="4" t="s">
        <v>20</v>
      </c>
      <c r="L17" s="4" t="s">
        <v>21</v>
      </c>
      <c r="M17" s="4" t="s">
        <v>18</v>
      </c>
      <c r="N17" s="4" t="s">
        <v>25</v>
      </c>
      <c r="O17" s="4" t="s">
        <v>26</v>
      </c>
    </row>
    <row r="18" spans="1:15">
      <c r="A18" s="4" t="s">
        <v>85</v>
      </c>
      <c r="B18">
        <v>1</v>
      </c>
      <c r="C18">
        <v>1</v>
      </c>
      <c r="D18" s="4">
        <v>0</v>
      </c>
      <c r="E18" s="4" t="s">
        <v>107</v>
      </c>
      <c r="F18" s="4" t="s">
        <v>19</v>
      </c>
      <c r="G18" s="4" t="s">
        <v>26</v>
      </c>
      <c r="H18" s="4" t="s">
        <v>25</v>
      </c>
      <c r="I18" s="4" t="s">
        <v>18</v>
      </c>
      <c r="J18" s="4" t="s">
        <v>17</v>
      </c>
      <c r="K18" s="4" t="s">
        <v>19</v>
      </c>
      <c r="L18" s="4" t="s">
        <v>26</v>
      </c>
      <c r="M18" s="4" t="s">
        <v>25</v>
      </c>
      <c r="N18" s="4" t="s">
        <v>18</v>
      </c>
      <c r="O18" s="4" t="s">
        <v>17</v>
      </c>
    </row>
    <row r="19" spans="1:15">
      <c r="A19" s="4" t="s">
        <v>85</v>
      </c>
      <c r="B19">
        <v>1</v>
      </c>
      <c r="C19">
        <v>1</v>
      </c>
      <c r="D19" s="4">
        <v>-0.1</v>
      </c>
      <c r="E19" s="4" t="s">
        <v>107</v>
      </c>
      <c r="F19" s="4" t="s">
        <v>26</v>
      </c>
      <c r="G19" s="4" t="s">
        <v>24</v>
      </c>
      <c r="H19" s="4" t="s">
        <v>20</v>
      </c>
      <c r="I19" s="4" t="s">
        <v>22</v>
      </c>
      <c r="J19" s="4" t="s">
        <v>19</v>
      </c>
      <c r="K19" s="4" t="s">
        <v>26</v>
      </c>
      <c r="L19" s="4" t="s">
        <v>24</v>
      </c>
      <c r="M19" s="4" t="s">
        <v>20</v>
      </c>
      <c r="N19" s="4" t="s">
        <v>22</v>
      </c>
      <c r="O19" s="4" t="s">
        <v>19</v>
      </c>
    </row>
    <row r="20" spans="1:15">
      <c r="A20" s="4" t="s">
        <v>85</v>
      </c>
      <c r="B20">
        <v>1</v>
      </c>
      <c r="C20">
        <v>1</v>
      </c>
      <c r="D20" s="4">
        <v>-0.2</v>
      </c>
      <c r="E20" s="4" t="s">
        <v>107</v>
      </c>
      <c r="F20" s="4" t="s">
        <v>26</v>
      </c>
      <c r="G20" s="4" t="s">
        <v>20</v>
      </c>
      <c r="H20" s="4" t="s">
        <v>23</v>
      </c>
      <c r="I20" s="4" t="s">
        <v>19</v>
      </c>
      <c r="J20" s="4" t="s">
        <v>25</v>
      </c>
      <c r="K20" s="4" t="s">
        <v>26</v>
      </c>
      <c r="L20" s="4" t="s">
        <v>20</v>
      </c>
      <c r="M20" s="4" t="s">
        <v>23</v>
      </c>
      <c r="N20" s="4" t="s">
        <v>19</v>
      </c>
      <c r="O20" s="4" t="s">
        <v>25</v>
      </c>
    </row>
    <row r="21" spans="1:15">
      <c r="A21" s="4" t="s">
        <v>85</v>
      </c>
      <c r="B21">
        <v>1</v>
      </c>
      <c r="C21">
        <v>1</v>
      </c>
      <c r="D21" s="4">
        <v>-0.3</v>
      </c>
      <c r="E21" s="4" t="s">
        <v>107</v>
      </c>
      <c r="F21" s="4" t="s">
        <v>20</v>
      </c>
      <c r="G21" s="4" t="s">
        <v>23</v>
      </c>
      <c r="H21" s="4" t="s">
        <v>24</v>
      </c>
      <c r="I21" s="4" t="s">
        <v>22</v>
      </c>
      <c r="J21" s="4" t="s">
        <v>25</v>
      </c>
      <c r="K21" s="4"/>
      <c r="L21" s="4"/>
      <c r="M21" s="4"/>
      <c r="N21" s="4"/>
      <c r="O21" s="4"/>
    </row>
    <row r="22" spans="1:15">
      <c r="A22" s="4" t="s">
        <v>87</v>
      </c>
      <c r="B22">
        <v>0.25</v>
      </c>
      <c r="C22">
        <v>1</v>
      </c>
      <c r="D22" s="4">
        <v>1.6</v>
      </c>
      <c r="E22" s="4" t="s">
        <v>107</v>
      </c>
      <c r="F22" s="4" t="s">
        <v>23</v>
      </c>
      <c r="G22" s="4" t="s">
        <v>17</v>
      </c>
      <c r="H22" s="4" t="s">
        <v>18</v>
      </c>
      <c r="I22" s="4" t="s">
        <v>19</v>
      </c>
      <c r="J22" s="4" t="s">
        <v>26</v>
      </c>
      <c r="K22" s="4" t="s">
        <v>23</v>
      </c>
      <c r="L22" s="4" t="s">
        <v>17</v>
      </c>
      <c r="M22" s="4" t="s">
        <v>18</v>
      </c>
      <c r="N22" s="4" t="s">
        <v>19</v>
      </c>
      <c r="O22" s="4" t="s">
        <v>26</v>
      </c>
    </row>
    <row r="23" spans="1:15">
      <c r="A23" s="4" t="s">
        <v>87</v>
      </c>
      <c r="B23">
        <v>0.25</v>
      </c>
      <c r="C23">
        <v>1</v>
      </c>
      <c r="D23" s="4">
        <v>1.5</v>
      </c>
      <c r="E23" s="4" t="s">
        <v>107</v>
      </c>
      <c r="F23" s="4" t="s">
        <v>23</v>
      </c>
      <c r="G23" s="4" t="s">
        <v>18</v>
      </c>
      <c r="H23" s="4" t="s">
        <v>21</v>
      </c>
      <c r="I23" s="4" t="s">
        <v>24</v>
      </c>
      <c r="J23" s="4" t="s">
        <v>22</v>
      </c>
      <c r="K23" s="4" t="s">
        <v>23</v>
      </c>
      <c r="L23" s="4" t="s">
        <v>18</v>
      </c>
      <c r="M23" s="4" t="s">
        <v>21</v>
      </c>
      <c r="N23" s="4" t="s">
        <v>24</v>
      </c>
      <c r="O23" s="4" t="s">
        <v>22</v>
      </c>
    </row>
    <row r="24" spans="1:15">
      <c r="A24" s="4" t="s">
        <v>87</v>
      </c>
      <c r="B24">
        <v>0.25</v>
      </c>
      <c r="C24">
        <v>1</v>
      </c>
      <c r="D24" s="4">
        <v>1.4</v>
      </c>
      <c r="E24" s="4" t="s">
        <v>107</v>
      </c>
      <c r="F24" s="4" t="s">
        <v>17</v>
      </c>
      <c r="G24" s="4" t="s">
        <v>24</v>
      </c>
      <c r="H24" s="4" t="s">
        <v>18</v>
      </c>
      <c r="I24" s="4" t="s">
        <v>20</v>
      </c>
      <c r="J24" s="4" t="s">
        <v>25</v>
      </c>
      <c r="K24" s="4" t="s">
        <v>17</v>
      </c>
      <c r="L24" s="4" t="s">
        <v>24</v>
      </c>
      <c r="M24" s="4" t="s">
        <v>18</v>
      </c>
      <c r="N24" s="4" t="s">
        <v>20</v>
      </c>
      <c r="O24" s="4" t="s">
        <v>25</v>
      </c>
    </row>
    <row r="25" spans="1:15">
      <c r="A25" s="4" t="s">
        <v>87</v>
      </c>
      <c r="B25">
        <v>0.25</v>
      </c>
      <c r="C25">
        <v>1</v>
      </c>
      <c r="D25" s="4">
        <v>1.3</v>
      </c>
      <c r="E25" s="4" t="s">
        <v>107</v>
      </c>
      <c r="F25" s="4" t="s">
        <v>17</v>
      </c>
      <c r="G25" s="4" t="s">
        <v>23</v>
      </c>
      <c r="H25" s="4" t="s">
        <v>22</v>
      </c>
      <c r="I25" s="4" t="s">
        <v>26</v>
      </c>
      <c r="J25" s="4" t="s">
        <v>20</v>
      </c>
      <c r="K25" s="4" t="s">
        <v>17</v>
      </c>
      <c r="L25" s="4" t="s">
        <v>23</v>
      </c>
      <c r="M25" s="4" t="s">
        <v>22</v>
      </c>
      <c r="N25" s="4" t="s">
        <v>26</v>
      </c>
      <c r="O25" s="4" t="s">
        <v>20</v>
      </c>
    </row>
    <row r="26" spans="1:15">
      <c r="A26" s="4" t="s">
        <v>87</v>
      </c>
      <c r="B26">
        <v>0.25</v>
      </c>
      <c r="C26">
        <v>1</v>
      </c>
      <c r="D26" s="4">
        <v>1.2</v>
      </c>
      <c r="E26" s="4" t="s">
        <v>107</v>
      </c>
      <c r="F26" s="4" t="s">
        <v>23</v>
      </c>
      <c r="G26" s="4" t="s">
        <v>20</v>
      </c>
      <c r="H26" s="4" t="s">
        <v>17</v>
      </c>
      <c r="I26" s="4" t="s">
        <v>19</v>
      </c>
      <c r="J26" s="4" t="s">
        <v>26</v>
      </c>
      <c r="K26" s="4" t="s">
        <v>23</v>
      </c>
      <c r="L26" s="4" t="s">
        <v>20</v>
      </c>
      <c r="M26" s="4" t="s">
        <v>17</v>
      </c>
      <c r="N26" s="4" t="s">
        <v>19</v>
      </c>
      <c r="O26" s="4" t="s">
        <v>26</v>
      </c>
    </row>
    <row r="27" spans="1:15">
      <c r="A27" s="4" t="s">
        <v>87</v>
      </c>
      <c r="B27">
        <v>0.25</v>
      </c>
      <c r="C27">
        <v>1</v>
      </c>
      <c r="D27" s="4">
        <v>1.1000000000000001</v>
      </c>
      <c r="E27" s="4" t="s">
        <v>107</v>
      </c>
      <c r="F27" s="4" t="s">
        <v>22</v>
      </c>
      <c r="G27" s="4" t="s">
        <v>17</v>
      </c>
      <c r="H27" s="4" t="s">
        <v>23</v>
      </c>
      <c r="I27" s="4" t="s">
        <v>20</v>
      </c>
      <c r="J27" s="4" t="s">
        <v>26</v>
      </c>
      <c r="K27" s="4" t="s">
        <v>22</v>
      </c>
      <c r="L27" s="4" t="s">
        <v>17</v>
      </c>
      <c r="M27" s="4" t="s">
        <v>23</v>
      </c>
      <c r="N27" s="4" t="s">
        <v>20</v>
      </c>
      <c r="O27" s="4" t="s">
        <v>26</v>
      </c>
    </row>
    <row r="28" spans="1:15">
      <c r="A28" s="4" t="s">
        <v>87</v>
      </c>
      <c r="B28">
        <v>0.25</v>
      </c>
      <c r="C28">
        <v>1</v>
      </c>
      <c r="D28" s="4">
        <v>1</v>
      </c>
      <c r="E28" s="4" t="s">
        <v>107</v>
      </c>
      <c r="F28" s="4" t="s">
        <v>18</v>
      </c>
      <c r="G28" s="4" t="s">
        <v>26</v>
      </c>
      <c r="H28" s="4" t="s">
        <v>25</v>
      </c>
      <c r="I28" s="4" t="s">
        <v>20</v>
      </c>
      <c r="J28" s="4" t="s">
        <v>19</v>
      </c>
      <c r="K28" s="4" t="s">
        <v>18</v>
      </c>
      <c r="L28" s="4" t="s">
        <v>26</v>
      </c>
      <c r="M28" s="4" t="s">
        <v>25</v>
      </c>
      <c r="N28" s="4" t="s">
        <v>20</v>
      </c>
      <c r="O28" s="4" t="s">
        <v>19</v>
      </c>
    </row>
    <row r="29" spans="1:15">
      <c r="A29" s="4" t="s">
        <v>87</v>
      </c>
      <c r="B29">
        <v>0.25</v>
      </c>
      <c r="C29">
        <v>1</v>
      </c>
      <c r="D29" s="4">
        <v>0.9</v>
      </c>
      <c r="E29" s="4" t="s">
        <v>107</v>
      </c>
      <c r="F29" s="4" t="s">
        <v>24</v>
      </c>
      <c r="G29" s="4" t="s">
        <v>17</v>
      </c>
      <c r="H29" s="4" t="s">
        <v>19</v>
      </c>
      <c r="I29" s="4" t="s">
        <v>20</v>
      </c>
      <c r="J29" s="4" t="s">
        <v>21</v>
      </c>
      <c r="K29" s="4" t="s">
        <v>24</v>
      </c>
      <c r="L29" s="4" t="s">
        <v>17</v>
      </c>
      <c r="M29" s="4" t="s">
        <v>19</v>
      </c>
      <c r="N29" s="4" t="s">
        <v>20</v>
      </c>
      <c r="O29" s="4" t="s">
        <v>21</v>
      </c>
    </row>
    <row r="30" spans="1:15">
      <c r="A30" s="4" t="s">
        <v>87</v>
      </c>
      <c r="B30">
        <v>0.25</v>
      </c>
      <c r="C30">
        <v>1</v>
      </c>
      <c r="D30" s="4">
        <v>0.8</v>
      </c>
      <c r="E30" s="4" t="s">
        <v>107</v>
      </c>
      <c r="F30" s="4" t="s">
        <v>22</v>
      </c>
      <c r="G30" s="4" t="s">
        <v>20</v>
      </c>
      <c r="H30" s="4" t="s">
        <v>24</v>
      </c>
      <c r="I30" s="4" t="s">
        <v>21</v>
      </c>
      <c r="J30" s="4" t="s">
        <v>17</v>
      </c>
      <c r="K30" s="4" t="s">
        <v>22</v>
      </c>
      <c r="L30" s="4" t="s">
        <v>20</v>
      </c>
      <c r="M30" s="4" t="s">
        <v>24</v>
      </c>
      <c r="N30" s="4" t="s">
        <v>21</v>
      </c>
      <c r="O30" s="4" t="s">
        <v>17</v>
      </c>
    </row>
    <row r="31" spans="1:15">
      <c r="A31" s="4" t="s">
        <v>87</v>
      </c>
      <c r="B31">
        <v>0.25</v>
      </c>
      <c r="C31">
        <v>1</v>
      </c>
      <c r="D31" s="4">
        <v>0.7</v>
      </c>
      <c r="E31" s="4" t="s">
        <v>107</v>
      </c>
      <c r="F31" s="4" t="s">
        <v>22</v>
      </c>
      <c r="G31" s="4" t="s">
        <v>24</v>
      </c>
      <c r="H31" s="4" t="s">
        <v>18</v>
      </c>
      <c r="I31" s="4" t="s">
        <v>20</v>
      </c>
      <c r="J31" s="4" t="s">
        <v>25</v>
      </c>
      <c r="K31" s="4" t="s">
        <v>22</v>
      </c>
      <c r="L31" s="4" t="s">
        <v>24</v>
      </c>
      <c r="M31" s="4" t="s">
        <v>18</v>
      </c>
      <c r="N31" s="4" t="s">
        <v>20</v>
      </c>
      <c r="O31" s="4" t="s">
        <v>25</v>
      </c>
    </row>
    <row r="32" spans="1:15">
      <c r="A32" s="4" t="s">
        <v>87</v>
      </c>
      <c r="B32">
        <v>0.25</v>
      </c>
      <c r="C32">
        <v>1</v>
      </c>
      <c r="D32" s="4">
        <v>0.6</v>
      </c>
      <c r="E32" s="4" t="s">
        <v>107</v>
      </c>
      <c r="F32" s="4" t="s">
        <v>21</v>
      </c>
      <c r="G32" s="4" t="s">
        <v>26</v>
      </c>
      <c r="H32" s="4" t="s">
        <v>25</v>
      </c>
      <c r="I32" s="4" t="s">
        <v>17</v>
      </c>
      <c r="J32" s="4" t="s">
        <v>23</v>
      </c>
      <c r="K32" s="4" t="s">
        <v>21</v>
      </c>
      <c r="L32" s="4" t="s">
        <v>26</v>
      </c>
      <c r="M32" s="4" t="s">
        <v>25</v>
      </c>
      <c r="N32" s="4" t="s">
        <v>17</v>
      </c>
      <c r="O32" s="4" t="s">
        <v>23</v>
      </c>
    </row>
    <row r="33" spans="1:15">
      <c r="A33" s="4" t="s">
        <v>87</v>
      </c>
      <c r="B33">
        <v>0.25</v>
      </c>
      <c r="C33">
        <v>1</v>
      </c>
      <c r="D33" s="4">
        <v>0.5</v>
      </c>
      <c r="E33" s="4" t="s">
        <v>107</v>
      </c>
      <c r="F33" s="4" t="s">
        <v>17</v>
      </c>
      <c r="G33" s="4" t="s">
        <v>18</v>
      </c>
      <c r="H33" s="4" t="s">
        <v>24</v>
      </c>
      <c r="I33" s="4" t="s">
        <v>20</v>
      </c>
      <c r="J33" s="4" t="s">
        <v>25</v>
      </c>
      <c r="K33" s="4" t="s">
        <v>17</v>
      </c>
      <c r="L33" s="4" t="s">
        <v>18</v>
      </c>
      <c r="M33" s="4" t="s">
        <v>24</v>
      </c>
      <c r="N33" s="4" t="s">
        <v>20</v>
      </c>
      <c r="O33" s="4" t="s">
        <v>25</v>
      </c>
    </row>
    <row r="34" spans="1:15">
      <c r="A34" s="4" t="s">
        <v>87</v>
      </c>
      <c r="B34">
        <v>0.25</v>
      </c>
      <c r="C34">
        <v>1</v>
      </c>
      <c r="D34" s="4">
        <v>0.4</v>
      </c>
      <c r="E34" s="4" t="s">
        <v>107</v>
      </c>
      <c r="F34" s="4" t="s">
        <v>20</v>
      </c>
      <c r="G34" s="4" t="s">
        <v>22</v>
      </c>
      <c r="H34" s="4" t="s">
        <v>21</v>
      </c>
      <c r="I34" s="4" t="s">
        <v>19</v>
      </c>
      <c r="J34" s="4" t="s">
        <v>18</v>
      </c>
      <c r="K34" s="4" t="s">
        <v>20</v>
      </c>
      <c r="L34" s="4" t="s">
        <v>22</v>
      </c>
      <c r="M34" s="4" t="s">
        <v>21</v>
      </c>
      <c r="N34" s="4" t="s">
        <v>19</v>
      </c>
      <c r="O34" s="4" t="s">
        <v>18</v>
      </c>
    </row>
    <row r="35" spans="1:15">
      <c r="A35" s="4" t="s">
        <v>87</v>
      </c>
      <c r="B35">
        <v>0.25</v>
      </c>
      <c r="C35">
        <v>1</v>
      </c>
      <c r="D35" s="4">
        <v>0.3</v>
      </c>
      <c r="E35" s="4" t="s">
        <v>107</v>
      </c>
      <c r="F35" s="4" t="s">
        <v>26</v>
      </c>
      <c r="G35" s="4" t="s">
        <v>17</v>
      </c>
      <c r="H35" s="4" t="s">
        <v>23</v>
      </c>
      <c r="I35" s="4" t="s">
        <v>19</v>
      </c>
      <c r="J35" s="4" t="s">
        <v>21</v>
      </c>
      <c r="K35" s="4" t="s">
        <v>26</v>
      </c>
      <c r="L35" s="4"/>
      <c r="M35" s="4" t="s">
        <v>23</v>
      </c>
      <c r="N35" s="4" t="s">
        <v>19</v>
      </c>
      <c r="O35" s="4" t="s">
        <v>21</v>
      </c>
    </row>
    <row r="36" spans="1:15">
      <c r="A36" s="4" t="s">
        <v>87</v>
      </c>
      <c r="B36">
        <v>0.25</v>
      </c>
      <c r="C36">
        <v>1</v>
      </c>
      <c r="D36" s="4">
        <v>0.2</v>
      </c>
      <c r="E36" s="4" t="s">
        <v>107</v>
      </c>
      <c r="F36" s="4" t="s">
        <v>20</v>
      </c>
      <c r="G36" s="4" t="s">
        <v>18</v>
      </c>
      <c r="H36" s="4" t="s">
        <v>26</v>
      </c>
      <c r="I36" s="4" t="s">
        <v>23</v>
      </c>
      <c r="J36" s="4" t="s">
        <v>21</v>
      </c>
      <c r="K36" s="4"/>
      <c r="L36" s="4"/>
      <c r="M36" s="4"/>
      <c r="N36" s="4"/>
      <c r="O36" s="4"/>
    </row>
    <row r="37" spans="1:15">
      <c r="A37" s="4" t="s">
        <v>87</v>
      </c>
      <c r="B37">
        <v>0.25</v>
      </c>
      <c r="C37">
        <v>1</v>
      </c>
      <c r="D37" s="4">
        <v>0.1</v>
      </c>
      <c r="E37" s="4" t="s">
        <v>107</v>
      </c>
      <c r="F37" s="4" t="s">
        <v>21</v>
      </c>
      <c r="G37" s="4" t="s">
        <v>18</v>
      </c>
      <c r="H37" s="4" t="s">
        <v>19</v>
      </c>
      <c r="I37" s="4" t="s">
        <v>26</v>
      </c>
      <c r="J37" s="4" t="s">
        <v>17</v>
      </c>
      <c r="K37" s="4"/>
      <c r="L37" s="4"/>
      <c r="M37" s="4"/>
      <c r="N37" s="4"/>
      <c r="O37" s="4"/>
    </row>
    <row r="38" spans="1:15">
      <c r="A38" s="4" t="s">
        <v>87</v>
      </c>
      <c r="B38">
        <v>0.25</v>
      </c>
      <c r="C38">
        <v>1</v>
      </c>
      <c r="D38" s="4">
        <v>0</v>
      </c>
      <c r="E38" s="4" t="s">
        <v>107</v>
      </c>
      <c r="F38" s="4" t="s">
        <v>18</v>
      </c>
      <c r="G38" s="4" t="s">
        <v>21</v>
      </c>
      <c r="H38" s="4" t="s">
        <v>22</v>
      </c>
      <c r="I38" s="4" t="s">
        <v>20</v>
      </c>
      <c r="J38" s="4" t="s">
        <v>25</v>
      </c>
      <c r="K38" s="4"/>
      <c r="L38" s="4"/>
      <c r="M38" s="4"/>
      <c r="N38" s="4"/>
      <c r="O38" s="4"/>
    </row>
    <row r="39" spans="1:15">
      <c r="A39" s="4" t="s">
        <v>87</v>
      </c>
      <c r="B39">
        <v>0.25</v>
      </c>
      <c r="C39">
        <v>1</v>
      </c>
      <c r="D39" s="4">
        <v>-0.1</v>
      </c>
      <c r="E39" s="4" t="s">
        <v>107</v>
      </c>
      <c r="F39" s="4" t="s">
        <v>22</v>
      </c>
      <c r="G39" s="4" t="s">
        <v>24</v>
      </c>
      <c r="H39" s="4" t="s">
        <v>23</v>
      </c>
      <c r="I39" s="4" t="s">
        <v>20</v>
      </c>
      <c r="J39" s="4" t="s">
        <v>19</v>
      </c>
      <c r="K39" s="4"/>
      <c r="L39" s="4"/>
      <c r="M39" s="4"/>
      <c r="N39" s="4"/>
      <c r="O39" s="4"/>
    </row>
    <row r="40" spans="1:15">
      <c r="A40" s="4" t="s">
        <v>87</v>
      </c>
      <c r="B40">
        <v>0.25</v>
      </c>
      <c r="C40">
        <v>1</v>
      </c>
      <c r="D40" s="4">
        <v>-0.2</v>
      </c>
      <c r="E40" s="4" t="s">
        <v>107</v>
      </c>
      <c r="F40" s="4" t="s">
        <v>26</v>
      </c>
      <c r="G40" s="4" t="s">
        <v>24</v>
      </c>
      <c r="H40" s="4" t="s">
        <v>25</v>
      </c>
      <c r="I40" s="4" t="s">
        <v>20</v>
      </c>
      <c r="J40" s="4" t="s">
        <v>22</v>
      </c>
      <c r="K40" s="4"/>
      <c r="L40" s="4"/>
      <c r="M40" s="4"/>
      <c r="N40" s="4"/>
      <c r="O40" s="4"/>
    </row>
    <row r="41" spans="1:15">
      <c r="A41" s="4" t="s">
        <v>87</v>
      </c>
      <c r="B41">
        <v>0.25</v>
      </c>
      <c r="C41">
        <v>1</v>
      </c>
      <c r="D41" s="4">
        <v>-0.3</v>
      </c>
      <c r="E41" s="4" t="s">
        <v>107</v>
      </c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 t="s">
        <v>88</v>
      </c>
      <c r="B42">
        <v>0.125</v>
      </c>
      <c r="C42">
        <v>1</v>
      </c>
      <c r="D42" s="4">
        <v>1.6</v>
      </c>
      <c r="E42" s="4" t="s">
        <v>107</v>
      </c>
      <c r="F42" s="4" t="s">
        <v>21</v>
      </c>
      <c r="G42" s="4" t="s">
        <v>24</v>
      </c>
      <c r="H42" s="4" t="s">
        <v>25</v>
      </c>
      <c r="I42" s="4" t="s">
        <v>26</v>
      </c>
      <c r="J42" s="4" t="s">
        <v>18</v>
      </c>
      <c r="K42" s="4" t="s">
        <v>21</v>
      </c>
      <c r="L42" s="4" t="s">
        <v>24</v>
      </c>
      <c r="M42" s="4" t="s">
        <v>25</v>
      </c>
      <c r="N42" s="4" t="s">
        <v>26</v>
      </c>
      <c r="O42" s="4" t="s">
        <v>18</v>
      </c>
    </row>
    <row r="43" spans="1:15">
      <c r="A43" s="4" t="s">
        <v>88</v>
      </c>
      <c r="B43">
        <v>0.125</v>
      </c>
      <c r="C43">
        <v>1</v>
      </c>
      <c r="D43" s="4">
        <v>1.5</v>
      </c>
      <c r="E43" s="4" t="s">
        <v>107</v>
      </c>
      <c r="F43" s="4" t="s">
        <v>18</v>
      </c>
      <c r="G43" s="4" t="s">
        <v>23</v>
      </c>
      <c r="H43" s="4" t="s">
        <v>20</v>
      </c>
      <c r="I43" s="4" t="s">
        <v>17</v>
      </c>
      <c r="J43" s="4" t="s">
        <v>26</v>
      </c>
      <c r="K43" s="4" t="s">
        <v>18</v>
      </c>
      <c r="L43" s="4" t="s">
        <v>23</v>
      </c>
      <c r="M43" s="4" t="s">
        <v>20</v>
      </c>
      <c r="N43" s="4" t="s">
        <v>17</v>
      </c>
      <c r="O43" s="4" t="s">
        <v>26</v>
      </c>
    </row>
    <row r="44" spans="1:15">
      <c r="A44" s="4" t="s">
        <v>88</v>
      </c>
      <c r="B44">
        <v>0.125</v>
      </c>
      <c r="C44">
        <v>1</v>
      </c>
      <c r="D44" s="4">
        <v>1.4</v>
      </c>
      <c r="E44" s="4" t="s">
        <v>107</v>
      </c>
      <c r="F44" s="4" t="s">
        <v>20</v>
      </c>
      <c r="G44" s="4" t="s">
        <v>23</v>
      </c>
      <c r="H44" s="4" t="s">
        <v>24</v>
      </c>
      <c r="I44" s="4" t="s">
        <v>18</v>
      </c>
      <c r="J44" s="4" t="s">
        <v>19</v>
      </c>
      <c r="K44" s="4" t="s">
        <v>20</v>
      </c>
      <c r="L44" s="4" t="s">
        <v>23</v>
      </c>
      <c r="M44" s="4" t="s">
        <v>24</v>
      </c>
      <c r="N44" s="4" t="s">
        <v>18</v>
      </c>
      <c r="O44" s="4" t="s">
        <v>19</v>
      </c>
    </row>
    <row r="45" spans="1:15">
      <c r="A45" s="4" t="s">
        <v>88</v>
      </c>
      <c r="B45">
        <v>0.125</v>
      </c>
      <c r="C45">
        <v>1</v>
      </c>
      <c r="D45" s="4">
        <v>1.3</v>
      </c>
      <c r="E45" s="4" t="s">
        <v>107</v>
      </c>
      <c r="F45" s="4" t="s">
        <v>26</v>
      </c>
      <c r="G45" s="4" t="s">
        <v>18</v>
      </c>
      <c r="H45" s="4" t="s">
        <v>22</v>
      </c>
      <c r="I45" s="4" t="s">
        <v>17</v>
      </c>
      <c r="J45" s="4" t="s">
        <v>19</v>
      </c>
      <c r="K45" s="4" t="s">
        <v>26</v>
      </c>
      <c r="L45" s="4" t="s">
        <v>18</v>
      </c>
      <c r="M45" s="4" t="s">
        <v>22</v>
      </c>
      <c r="N45" s="4" t="s">
        <v>17</v>
      </c>
      <c r="O45" s="4" t="s">
        <v>19</v>
      </c>
    </row>
    <row r="46" spans="1:15">
      <c r="A46" s="4" t="s">
        <v>88</v>
      </c>
      <c r="B46">
        <v>0.125</v>
      </c>
      <c r="C46">
        <v>1</v>
      </c>
      <c r="D46" s="4">
        <v>1.2</v>
      </c>
      <c r="E46" s="4" t="s">
        <v>107</v>
      </c>
      <c r="F46" s="4" t="s">
        <v>19</v>
      </c>
      <c r="G46" s="4" t="s">
        <v>25</v>
      </c>
      <c r="H46" s="4" t="s">
        <v>20</v>
      </c>
      <c r="I46" s="4" t="s">
        <v>26</v>
      </c>
      <c r="J46" s="4" t="s">
        <v>22</v>
      </c>
      <c r="K46" s="4" t="s">
        <v>19</v>
      </c>
      <c r="L46" s="4" t="s">
        <v>25</v>
      </c>
      <c r="M46" s="4" t="s">
        <v>20</v>
      </c>
      <c r="N46" s="4" t="s">
        <v>26</v>
      </c>
      <c r="O46" s="4" t="s">
        <v>22</v>
      </c>
    </row>
    <row r="47" spans="1:15">
      <c r="A47" s="4" t="s">
        <v>88</v>
      </c>
      <c r="B47">
        <v>0.125</v>
      </c>
      <c r="C47">
        <v>1</v>
      </c>
      <c r="D47" s="4">
        <v>1.1000000000000001</v>
      </c>
      <c r="E47" s="4" t="s">
        <v>107</v>
      </c>
      <c r="F47" s="4" t="s">
        <v>24</v>
      </c>
      <c r="G47" s="4" t="s">
        <v>19</v>
      </c>
      <c r="H47" s="4" t="s">
        <v>25</v>
      </c>
      <c r="I47" s="4" t="s">
        <v>23</v>
      </c>
      <c r="J47" s="4" t="s">
        <v>17</v>
      </c>
      <c r="K47" s="4" t="s">
        <v>24</v>
      </c>
      <c r="L47" s="4" t="s">
        <v>19</v>
      </c>
      <c r="M47" s="4" t="s">
        <v>25</v>
      </c>
      <c r="N47" s="4" t="s">
        <v>23</v>
      </c>
      <c r="O47" s="4" t="s">
        <v>17</v>
      </c>
    </row>
    <row r="48" spans="1:15">
      <c r="A48" s="4" t="s">
        <v>88</v>
      </c>
      <c r="B48">
        <v>0.125</v>
      </c>
      <c r="C48">
        <v>1</v>
      </c>
      <c r="D48" s="4">
        <v>1</v>
      </c>
      <c r="E48" s="4" t="s">
        <v>107</v>
      </c>
      <c r="F48" s="4" t="s">
        <v>20</v>
      </c>
      <c r="G48" s="4" t="s">
        <v>26</v>
      </c>
      <c r="H48" s="4" t="s">
        <v>18</v>
      </c>
      <c r="I48" s="4" t="s">
        <v>25</v>
      </c>
      <c r="J48" s="4" t="s">
        <v>19</v>
      </c>
      <c r="K48" s="4" t="s">
        <v>20</v>
      </c>
      <c r="L48" s="4" t="s">
        <v>26</v>
      </c>
      <c r="M48" s="4" t="s">
        <v>18</v>
      </c>
      <c r="N48" s="4" t="s">
        <v>25</v>
      </c>
      <c r="O48" s="4" t="s">
        <v>19</v>
      </c>
    </row>
    <row r="49" spans="1:15">
      <c r="A49" s="4" t="s">
        <v>88</v>
      </c>
      <c r="B49">
        <v>0.125</v>
      </c>
      <c r="C49">
        <v>1</v>
      </c>
      <c r="D49" s="4">
        <v>0.9</v>
      </c>
      <c r="E49" s="4" t="s">
        <v>107</v>
      </c>
      <c r="F49" s="4" t="s">
        <v>26</v>
      </c>
      <c r="G49" s="4" t="s">
        <v>18</v>
      </c>
      <c r="H49" s="4" t="s">
        <v>23</v>
      </c>
      <c r="I49" s="4" t="s">
        <v>20</v>
      </c>
      <c r="J49" s="4" t="s">
        <v>19</v>
      </c>
      <c r="K49" s="4" t="s">
        <v>26</v>
      </c>
      <c r="L49" s="4" t="s">
        <v>18</v>
      </c>
      <c r="M49" s="4" t="s">
        <v>23</v>
      </c>
      <c r="N49" s="4" t="s">
        <v>20</v>
      </c>
      <c r="O49" s="4" t="s">
        <v>19</v>
      </c>
    </row>
    <row r="50" spans="1:15">
      <c r="A50" s="4" t="s">
        <v>88</v>
      </c>
      <c r="B50">
        <v>0.125</v>
      </c>
      <c r="C50">
        <v>1</v>
      </c>
      <c r="D50" s="4">
        <v>0.8</v>
      </c>
      <c r="E50" s="4" t="s">
        <v>107</v>
      </c>
      <c r="F50" s="4" t="s">
        <v>21</v>
      </c>
      <c r="G50" s="4" t="s">
        <v>22</v>
      </c>
      <c r="H50" s="4" t="s">
        <v>24</v>
      </c>
      <c r="I50" s="4" t="s">
        <v>23</v>
      </c>
      <c r="J50" s="4" t="s">
        <v>25</v>
      </c>
      <c r="K50" s="4" t="s">
        <v>21</v>
      </c>
      <c r="L50" s="4" t="s">
        <v>22</v>
      </c>
      <c r="M50" s="4" t="s">
        <v>24</v>
      </c>
      <c r="N50" s="4" t="s">
        <v>23</v>
      </c>
      <c r="O50" s="4" t="s">
        <v>25</v>
      </c>
    </row>
    <row r="51" spans="1:15">
      <c r="A51" s="4" t="s">
        <v>88</v>
      </c>
      <c r="B51">
        <v>0.125</v>
      </c>
      <c r="C51">
        <v>1</v>
      </c>
      <c r="D51" s="4">
        <v>0.7</v>
      </c>
      <c r="E51" s="4" t="s">
        <v>107</v>
      </c>
      <c r="F51" s="4" t="s">
        <v>23</v>
      </c>
      <c r="G51" s="4" t="s">
        <v>24</v>
      </c>
      <c r="H51" s="4" t="s">
        <v>26</v>
      </c>
      <c r="I51" s="4" t="s">
        <v>20</v>
      </c>
      <c r="J51" s="4" t="s">
        <v>17</v>
      </c>
      <c r="K51" s="4" t="s">
        <v>23</v>
      </c>
      <c r="L51" s="4" t="s">
        <v>24</v>
      </c>
      <c r="M51" s="4" t="s">
        <v>26</v>
      </c>
      <c r="N51" s="4" t="s">
        <v>20</v>
      </c>
      <c r="O51" s="4" t="s">
        <v>17</v>
      </c>
    </row>
    <row r="52" spans="1:15">
      <c r="A52" s="4" t="s">
        <v>88</v>
      </c>
      <c r="B52">
        <v>0.125</v>
      </c>
      <c r="C52">
        <v>1</v>
      </c>
      <c r="D52" s="4">
        <v>0.6</v>
      </c>
      <c r="E52" s="4" t="s">
        <v>107</v>
      </c>
      <c r="F52" s="4" t="s">
        <v>26</v>
      </c>
      <c r="G52" s="4" t="s">
        <v>19</v>
      </c>
      <c r="H52" s="4" t="s">
        <v>22</v>
      </c>
      <c r="I52" s="4" t="s">
        <v>23</v>
      </c>
      <c r="J52" s="4" t="s">
        <v>18</v>
      </c>
      <c r="K52" s="4" t="s">
        <v>26</v>
      </c>
      <c r="L52" s="4" t="s">
        <v>19</v>
      </c>
      <c r="M52" s="4" t="s">
        <v>22</v>
      </c>
      <c r="N52" s="4" t="s">
        <v>23</v>
      </c>
      <c r="O52" s="4" t="s">
        <v>18</v>
      </c>
    </row>
    <row r="53" spans="1:15">
      <c r="A53" s="4" t="s">
        <v>88</v>
      </c>
      <c r="B53">
        <v>0.125</v>
      </c>
      <c r="C53">
        <v>1</v>
      </c>
      <c r="D53" s="4">
        <v>0.5</v>
      </c>
      <c r="E53" s="4" t="s">
        <v>107</v>
      </c>
      <c r="F53" s="4" t="s">
        <v>18</v>
      </c>
      <c r="G53" s="4" t="s">
        <v>19</v>
      </c>
      <c r="H53" s="4" t="s">
        <v>24</v>
      </c>
      <c r="I53" s="4" t="s">
        <v>23</v>
      </c>
      <c r="J53" s="4" t="s">
        <v>20</v>
      </c>
      <c r="K53" s="4"/>
      <c r="L53" s="4"/>
      <c r="M53" s="4"/>
      <c r="N53" s="4"/>
      <c r="O53" s="4"/>
    </row>
    <row r="54" spans="1:15">
      <c r="A54" s="4" t="s">
        <v>88</v>
      </c>
      <c r="B54">
        <v>0.125</v>
      </c>
      <c r="C54">
        <v>1</v>
      </c>
      <c r="D54" s="4">
        <v>0.4</v>
      </c>
      <c r="E54" s="4" t="s">
        <v>107</v>
      </c>
      <c r="F54" s="4" t="s">
        <v>20</v>
      </c>
      <c r="G54" s="4" t="s">
        <v>23</v>
      </c>
      <c r="H54" s="4" t="s">
        <v>25</v>
      </c>
      <c r="I54" s="4" t="s">
        <v>22</v>
      </c>
      <c r="J54" s="4" t="s">
        <v>18</v>
      </c>
      <c r="K54" s="4"/>
      <c r="L54" s="4"/>
      <c r="M54" s="4"/>
      <c r="N54" s="4"/>
      <c r="O54" s="4"/>
    </row>
    <row r="55" spans="1:15">
      <c r="A55" s="4" t="s">
        <v>88</v>
      </c>
      <c r="B55">
        <v>0.125</v>
      </c>
      <c r="C55">
        <v>1</v>
      </c>
      <c r="D55" s="4">
        <v>0.3</v>
      </c>
      <c r="E55" s="4" t="s">
        <v>107</v>
      </c>
      <c r="F55" s="4" t="s">
        <v>24</v>
      </c>
      <c r="G55" s="4" t="s">
        <v>22</v>
      </c>
      <c r="H55" s="4" t="s">
        <v>19</v>
      </c>
      <c r="I55" s="4" t="s">
        <v>20</v>
      </c>
      <c r="J55" s="4" t="s">
        <v>25</v>
      </c>
      <c r="K55" s="4"/>
      <c r="L55" s="4"/>
      <c r="M55" s="4"/>
      <c r="N55" s="4"/>
      <c r="O55" s="4"/>
    </row>
    <row r="56" spans="1:15">
      <c r="A56" s="4" t="s">
        <v>88</v>
      </c>
      <c r="B56">
        <v>0.125</v>
      </c>
      <c r="C56">
        <v>1</v>
      </c>
      <c r="D56" s="4">
        <v>0.2</v>
      </c>
      <c r="E56" s="4" t="s">
        <v>107</v>
      </c>
      <c r="F56" s="4" t="s">
        <v>24</v>
      </c>
      <c r="G56" s="4" t="s">
        <v>20</v>
      </c>
      <c r="H56" s="4" t="s">
        <v>26</v>
      </c>
      <c r="I56" s="4" t="s">
        <v>21</v>
      </c>
      <c r="J56" s="4" t="s">
        <v>23</v>
      </c>
      <c r="K56" s="4"/>
      <c r="L56" s="4"/>
      <c r="M56" s="4"/>
      <c r="N56" s="4"/>
      <c r="O56" s="4"/>
    </row>
    <row r="57" spans="1:15">
      <c r="A57" s="4" t="s">
        <v>88</v>
      </c>
      <c r="B57">
        <v>0.125</v>
      </c>
      <c r="C57">
        <v>1</v>
      </c>
      <c r="D57" s="4">
        <v>0.1</v>
      </c>
      <c r="E57" s="4" t="s">
        <v>107</v>
      </c>
      <c r="F57" s="4" t="s">
        <v>22</v>
      </c>
      <c r="G57" s="4" t="s">
        <v>20</v>
      </c>
      <c r="H57" s="4" t="s">
        <v>19</v>
      </c>
      <c r="I57" s="4" t="s">
        <v>24</v>
      </c>
      <c r="J57" s="4" t="s">
        <v>26</v>
      </c>
      <c r="K57" s="4"/>
      <c r="L57" s="4"/>
      <c r="M57" s="4"/>
      <c r="N57" s="4"/>
      <c r="O57" s="4"/>
    </row>
    <row r="58" spans="1:15">
      <c r="A58" s="4" t="s">
        <v>88</v>
      </c>
      <c r="B58">
        <v>0.125</v>
      </c>
      <c r="C58">
        <v>1</v>
      </c>
      <c r="D58" s="4">
        <v>0</v>
      </c>
      <c r="E58" s="4" t="s">
        <v>107</v>
      </c>
      <c r="F58" s="4" t="s">
        <v>17</v>
      </c>
      <c r="G58" s="4" t="s">
        <v>26</v>
      </c>
      <c r="H58" s="4" t="s">
        <v>20</v>
      </c>
      <c r="I58" s="4" t="s">
        <v>24</v>
      </c>
      <c r="J58" s="4" t="s">
        <v>18</v>
      </c>
      <c r="K58" s="4"/>
      <c r="L58" s="4"/>
      <c r="M58" s="4"/>
      <c r="N58" s="4"/>
      <c r="O58" s="4"/>
    </row>
    <row r="59" spans="1:15">
      <c r="A59" s="4" t="s">
        <v>88</v>
      </c>
      <c r="B59">
        <v>0.125</v>
      </c>
      <c r="C59">
        <v>1</v>
      </c>
      <c r="D59" s="4">
        <v>-0.1</v>
      </c>
      <c r="E59" s="4" t="s">
        <v>107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>
      <c r="A60" s="4" t="s">
        <v>88</v>
      </c>
      <c r="B60">
        <v>0.125</v>
      </c>
      <c r="C60">
        <v>1</v>
      </c>
      <c r="D60" s="4">
        <v>-0.2</v>
      </c>
      <c r="E60" s="4" t="s">
        <v>107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>
      <c r="A61" s="4" t="s">
        <v>88</v>
      </c>
      <c r="B61">
        <v>0.125</v>
      </c>
      <c r="C61">
        <v>1</v>
      </c>
      <c r="D61" s="4">
        <v>-0.3</v>
      </c>
      <c r="E61" s="4" t="s">
        <v>107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>
      <c r="A62" s="4" t="s">
        <v>89</v>
      </c>
      <c r="B62">
        <v>6.3E-2</v>
      </c>
      <c r="C62">
        <v>1</v>
      </c>
      <c r="D62" s="4">
        <v>1.6</v>
      </c>
      <c r="E62" s="4" t="s">
        <v>107</v>
      </c>
      <c r="F62" s="4" t="s">
        <v>22</v>
      </c>
      <c r="G62" s="4" t="s">
        <v>20</v>
      </c>
      <c r="H62" s="4" t="s">
        <v>17</v>
      </c>
      <c r="I62" s="4" t="s">
        <v>25</v>
      </c>
      <c r="J62" s="4" t="s">
        <v>24</v>
      </c>
      <c r="K62" s="4" t="s">
        <v>22</v>
      </c>
      <c r="L62" s="4" t="s">
        <v>20</v>
      </c>
      <c r="M62" s="4" t="s">
        <v>17</v>
      </c>
      <c r="N62" s="4" t="s">
        <v>25</v>
      </c>
      <c r="O62" s="4" t="s">
        <v>24</v>
      </c>
    </row>
    <row r="63" spans="1:15">
      <c r="A63" s="4" t="s">
        <v>89</v>
      </c>
      <c r="B63">
        <v>6.3E-2</v>
      </c>
      <c r="C63">
        <v>1</v>
      </c>
      <c r="D63" s="4">
        <v>1.5</v>
      </c>
      <c r="E63" s="4" t="s">
        <v>107</v>
      </c>
      <c r="F63" s="4" t="s">
        <v>19</v>
      </c>
      <c r="G63" s="4" t="s">
        <v>18</v>
      </c>
      <c r="H63" s="4" t="s">
        <v>20</v>
      </c>
      <c r="I63" s="4" t="s">
        <v>26</v>
      </c>
      <c r="J63" s="4" t="s">
        <v>21</v>
      </c>
      <c r="K63" s="4" t="s">
        <v>19</v>
      </c>
      <c r="L63" s="4" t="s">
        <v>18</v>
      </c>
      <c r="M63" s="4" t="s">
        <v>20</v>
      </c>
      <c r="N63" s="4" t="s">
        <v>26</v>
      </c>
      <c r="O63" s="4" t="s">
        <v>21</v>
      </c>
    </row>
    <row r="64" spans="1:15">
      <c r="A64" s="4" t="s">
        <v>89</v>
      </c>
      <c r="B64">
        <v>6.3E-2</v>
      </c>
      <c r="C64">
        <v>1</v>
      </c>
      <c r="D64" s="4">
        <v>1.4</v>
      </c>
      <c r="E64" s="4" t="s">
        <v>107</v>
      </c>
      <c r="F64" s="4" t="s">
        <v>20</v>
      </c>
      <c r="G64" s="4" t="s">
        <v>23</v>
      </c>
      <c r="H64" s="4" t="s">
        <v>19</v>
      </c>
      <c r="I64" s="4" t="s">
        <v>18</v>
      </c>
      <c r="J64" s="4" t="s">
        <v>21</v>
      </c>
      <c r="K64" s="4" t="s">
        <v>20</v>
      </c>
      <c r="L64" s="4" t="s">
        <v>23</v>
      </c>
      <c r="M64" s="4" t="s">
        <v>19</v>
      </c>
      <c r="N64" s="4" t="s">
        <v>18</v>
      </c>
      <c r="O64" s="4" t="s">
        <v>21</v>
      </c>
    </row>
    <row r="65" spans="1:15">
      <c r="A65" s="4" t="s">
        <v>89</v>
      </c>
      <c r="B65">
        <v>6.3E-2</v>
      </c>
      <c r="C65">
        <v>1</v>
      </c>
      <c r="D65" s="4">
        <v>1.3</v>
      </c>
      <c r="E65" s="4" t="s">
        <v>107</v>
      </c>
      <c r="F65" s="4" t="s">
        <v>22</v>
      </c>
      <c r="G65" s="4" t="s">
        <v>19</v>
      </c>
      <c r="H65" s="4" t="s">
        <v>25</v>
      </c>
      <c r="I65" s="4" t="s">
        <v>26</v>
      </c>
      <c r="J65" s="4" t="s">
        <v>18</v>
      </c>
      <c r="K65" s="4" t="s">
        <v>22</v>
      </c>
      <c r="L65" s="4" t="s">
        <v>19</v>
      </c>
      <c r="M65" s="4" t="s">
        <v>25</v>
      </c>
      <c r="N65" s="4" t="s">
        <v>26</v>
      </c>
      <c r="O65" s="4" t="s">
        <v>18</v>
      </c>
    </row>
    <row r="66" spans="1:15">
      <c r="A66" s="4" t="s">
        <v>89</v>
      </c>
      <c r="B66">
        <v>6.3E-2</v>
      </c>
      <c r="C66">
        <v>1</v>
      </c>
      <c r="D66" s="4">
        <v>1.2</v>
      </c>
      <c r="E66" s="4" t="s">
        <v>107</v>
      </c>
      <c r="F66" s="4" t="s">
        <v>19</v>
      </c>
      <c r="G66" s="4" t="s">
        <v>22</v>
      </c>
      <c r="H66" s="4" t="s">
        <v>26</v>
      </c>
      <c r="I66" s="4" t="s">
        <v>20</v>
      </c>
      <c r="J66" s="4" t="s">
        <v>24</v>
      </c>
      <c r="K66" s="4" t="s">
        <v>19</v>
      </c>
      <c r="L66" s="4" t="s">
        <v>22</v>
      </c>
      <c r="M66" s="4" t="s">
        <v>26</v>
      </c>
      <c r="N66" s="4" t="s">
        <v>20</v>
      </c>
      <c r="O66" s="4" t="s">
        <v>24</v>
      </c>
    </row>
    <row r="67" spans="1:15">
      <c r="A67" s="4" t="s">
        <v>89</v>
      </c>
      <c r="B67">
        <v>6.3E-2</v>
      </c>
      <c r="C67">
        <v>1</v>
      </c>
      <c r="D67" s="4">
        <v>1.1000000000000001</v>
      </c>
      <c r="E67" s="4" t="s">
        <v>107</v>
      </c>
      <c r="F67" s="4" t="s">
        <v>23</v>
      </c>
      <c r="G67" s="4" t="s">
        <v>18</v>
      </c>
      <c r="H67" s="4" t="s">
        <v>26</v>
      </c>
      <c r="I67" s="4" t="s">
        <v>20</v>
      </c>
      <c r="J67" s="4" t="s">
        <v>22</v>
      </c>
      <c r="K67" s="4" t="s">
        <v>23</v>
      </c>
      <c r="L67" s="4" t="s">
        <v>18</v>
      </c>
      <c r="M67" s="4" t="s">
        <v>26</v>
      </c>
      <c r="N67" s="4" t="s">
        <v>20</v>
      </c>
      <c r="O67" s="4" t="s">
        <v>22</v>
      </c>
    </row>
    <row r="68" spans="1:15">
      <c r="A68" s="4" t="s">
        <v>89</v>
      </c>
      <c r="B68">
        <v>6.3E-2</v>
      </c>
      <c r="C68">
        <v>1</v>
      </c>
      <c r="D68" s="4">
        <v>1</v>
      </c>
      <c r="E68" s="4" t="s">
        <v>107</v>
      </c>
      <c r="F68" s="4" t="s">
        <v>20</v>
      </c>
      <c r="G68" s="4" t="s">
        <v>25</v>
      </c>
      <c r="H68" s="4" t="s">
        <v>21</v>
      </c>
      <c r="I68" s="4" t="s">
        <v>19</v>
      </c>
      <c r="J68" s="4" t="s">
        <v>17</v>
      </c>
      <c r="K68" s="4" t="s">
        <v>20</v>
      </c>
      <c r="L68" s="4" t="s">
        <v>25</v>
      </c>
      <c r="M68" s="4" t="s">
        <v>21</v>
      </c>
      <c r="N68" s="4" t="s">
        <v>19</v>
      </c>
      <c r="O68" s="4" t="s">
        <v>17</v>
      </c>
    </row>
    <row r="69" spans="1:15">
      <c r="A69" s="4" t="s">
        <v>89</v>
      </c>
      <c r="B69">
        <v>6.3E-2</v>
      </c>
      <c r="C69">
        <v>1</v>
      </c>
      <c r="D69" s="4">
        <v>0.9</v>
      </c>
      <c r="E69" s="4" t="s">
        <v>107</v>
      </c>
      <c r="F69" s="4" t="s">
        <v>23</v>
      </c>
      <c r="G69" s="4" t="s">
        <v>24</v>
      </c>
      <c r="H69" s="4" t="s">
        <v>19</v>
      </c>
      <c r="I69" s="4" t="s">
        <v>25</v>
      </c>
      <c r="J69" s="4" t="s">
        <v>26</v>
      </c>
      <c r="K69" s="4"/>
      <c r="L69" s="4"/>
      <c r="M69" s="4"/>
      <c r="N69" s="4"/>
      <c r="O69" s="4"/>
    </row>
    <row r="70" spans="1:15">
      <c r="A70" s="4" t="s">
        <v>89</v>
      </c>
      <c r="B70">
        <v>6.3E-2</v>
      </c>
      <c r="C70">
        <v>1</v>
      </c>
      <c r="D70" s="4">
        <v>0.8</v>
      </c>
      <c r="E70" s="4" t="s">
        <v>107</v>
      </c>
      <c r="F70" s="4" t="s">
        <v>20</v>
      </c>
      <c r="G70" s="4" t="s">
        <v>19</v>
      </c>
      <c r="H70" s="4" t="s">
        <v>25</v>
      </c>
      <c r="I70" s="4" t="s">
        <v>21</v>
      </c>
      <c r="J70" s="4" t="s">
        <v>26</v>
      </c>
      <c r="K70" s="4"/>
      <c r="L70" s="4"/>
      <c r="M70" s="4"/>
      <c r="N70" s="4"/>
      <c r="O70" s="4"/>
    </row>
    <row r="71" spans="1:15">
      <c r="A71" s="4" t="s">
        <v>89</v>
      </c>
      <c r="B71">
        <v>6.3E-2</v>
      </c>
      <c r="C71">
        <v>1</v>
      </c>
      <c r="D71" s="4">
        <v>0.7</v>
      </c>
      <c r="E71" s="4" t="s">
        <v>107</v>
      </c>
      <c r="F71" s="4" t="s">
        <v>23</v>
      </c>
      <c r="G71" s="4" t="s">
        <v>20</v>
      </c>
      <c r="H71" s="4" t="s">
        <v>22</v>
      </c>
      <c r="I71" s="4" t="s">
        <v>18</v>
      </c>
      <c r="J71" s="4" t="s">
        <v>19</v>
      </c>
      <c r="K71" s="4"/>
      <c r="L71" s="4"/>
      <c r="M71" s="4"/>
      <c r="N71" s="4"/>
      <c r="O71" s="4"/>
    </row>
    <row r="72" spans="1:15">
      <c r="A72" s="4" t="s">
        <v>89</v>
      </c>
      <c r="B72">
        <v>6.3E-2</v>
      </c>
      <c r="C72">
        <v>1</v>
      </c>
      <c r="D72" s="4">
        <v>0.6</v>
      </c>
      <c r="E72" s="4" t="s">
        <v>107</v>
      </c>
      <c r="F72" s="4" t="s">
        <v>21</v>
      </c>
      <c r="G72" s="4" t="s">
        <v>23</v>
      </c>
      <c r="H72" s="4" t="s">
        <v>26</v>
      </c>
      <c r="I72" s="4" t="s">
        <v>19</v>
      </c>
      <c r="J72" s="4" t="s">
        <v>20</v>
      </c>
      <c r="K72" s="4"/>
      <c r="L72" s="4"/>
      <c r="M72" s="4"/>
      <c r="N72" s="4"/>
      <c r="O72" s="4"/>
    </row>
    <row r="73" spans="1:15">
      <c r="A73" s="4" t="s">
        <v>89</v>
      </c>
      <c r="B73">
        <v>6.3E-2</v>
      </c>
      <c r="C73">
        <v>1</v>
      </c>
      <c r="D73" s="4">
        <v>0.5</v>
      </c>
      <c r="E73" s="4" t="s">
        <v>107</v>
      </c>
      <c r="F73" s="4" t="s">
        <v>17</v>
      </c>
      <c r="G73" s="4" t="s">
        <v>22</v>
      </c>
      <c r="H73" s="4" t="s">
        <v>20</v>
      </c>
      <c r="I73" s="4" t="s">
        <v>18</v>
      </c>
      <c r="J73" s="4" t="s">
        <v>23</v>
      </c>
      <c r="K73" s="4"/>
      <c r="L73" s="4"/>
      <c r="M73" s="4"/>
      <c r="N73" s="4"/>
      <c r="O73" s="4"/>
    </row>
    <row r="74" spans="1:15">
      <c r="A74" s="4" t="s">
        <v>89</v>
      </c>
      <c r="B74">
        <v>6.3E-2</v>
      </c>
      <c r="C74">
        <v>1</v>
      </c>
      <c r="D74" s="4">
        <v>0.4</v>
      </c>
      <c r="E74" s="4" t="s">
        <v>107</v>
      </c>
      <c r="F74" s="4" t="s">
        <v>26</v>
      </c>
      <c r="G74" s="4" t="s">
        <v>17</v>
      </c>
      <c r="H74" s="4" t="s">
        <v>22</v>
      </c>
      <c r="I74" s="4" t="s">
        <v>23</v>
      </c>
      <c r="J74" s="4" t="s">
        <v>18</v>
      </c>
      <c r="K74" s="4"/>
      <c r="L74" s="4"/>
      <c r="M74" s="4"/>
      <c r="N74" s="4"/>
      <c r="O74" s="4"/>
    </row>
    <row r="75" spans="1:15">
      <c r="A75" s="4" t="s">
        <v>89</v>
      </c>
      <c r="B75">
        <v>6.3E-2</v>
      </c>
      <c r="C75">
        <v>1</v>
      </c>
      <c r="D75" s="4">
        <v>0.3</v>
      </c>
      <c r="E75" s="4" t="s">
        <v>107</v>
      </c>
      <c r="F75" s="4" t="s">
        <v>24</v>
      </c>
      <c r="G75" s="4" t="s">
        <v>18</v>
      </c>
      <c r="H75" s="4" t="s">
        <v>26</v>
      </c>
      <c r="I75" s="4" t="s">
        <v>20</v>
      </c>
      <c r="J75" s="4" t="s">
        <v>19</v>
      </c>
      <c r="K75" s="4"/>
      <c r="L75" s="4"/>
      <c r="M75" s="4"/>
      <c r="N75" s="4"/>
      <c r="O75" s="4"/>
    </row>
    <row r="76" spans="1:15">
      <c r="A76" s="4" t="s">
        <v>89</v>
      </c>
      <c r="B76">
        <v>6.3E-2</v>
      </c>
      <c r="C76">
        <v>1</v>
      </c>
      <c r="D76" s="4">
        <v>0.2</v>
      </c>
      <c r="E76" s="4" t="s">
        <v>107</v>
      </c>
      <c r="F76" s="4" t="s">
        <v>19</v>
      </c>
      <c r="G76" s="4" t="s">
        <v>17</v>
      </c>
      <c r="H76" s="4" t="s">
        <v>25</v>
      </c>
      <c r="I76" s="4" t="s">
        <v>18</v>
      </c>
      <c r="J76" s="4" t="s">
        <v>26</v>
      </c>
      <c r="K76" s="4"/>
      <c r="L76" s="4"/>
      <c r="M76" s="4"/>
      <c r="N76" s="4"/>
      <c r="O76" s="4"/>
    </row>
    <row r="77" spans="1:15">
      <c r="A77" s="4" t="s">
        <v>89</v>
      </c>
      <c r="B77">
        <v>6.3E-2</v>
      </c>
      <c r="C77">
        <v>1</v>
      </c>
      <c r="D77" s="4">
        <v>0.1</v>
      </c>
      <c r="E77" s="4" t="s">
        <v>107</v>
      </c>
      <c r="F77" s="4" t="s">
        <v>17</v>
      </c>
      <c r="G77" s="4" t="s">
        <v>19</v>
      </c>
      <c r="H77" s="4" t="s">
        <v>22</v>
      </c>
      <c r="I77" s="4" t="s">
        <v>23</v>
      </c>
      <c r="J77" s="4" t="s">
        <v>25</v>
      </c>
      <c r="K77" s="4"/>
      <c r="L77" s="4"/>
      <c r="M77" s="4"/>
      <c r="N77" s="4"/>
      <c r="O77" s="4"/>
    </row>
    <row r="78" spans="1:15">
      <c r="A78" s="4" t="s">
        <v>89</v>
      </c>
      <c r="B78">
        <v>6.3E-2</v>
      </c>
      <c r="C78">
        <v>1</v>
      </c>
      <c r="D78" s="4">
        <v>0</v>
      </c>
      <c r="E78" s="4" t="s">
        <v>107</v>
      </c>
      <c r="F78" s="4" t="s">
        <v>23</v>
      </c>
      <c r="G78" s="4" t="s">
        <v>18</v>
      </c>
      <c r="H78" s="4" t="s">
        <v>19</v>
      </c>
      <c r="I78" s="4" t="s">
        <v>22</v>
      </c>
      <c r="J78" s="4" t="s">
        <v>21</v>
      </c>
      <c r="K78" s="4"/>
      <c r="L78" s="4"/>
      <c r="M78" s="4"/>
      <c r="N78" s="4"/>
      <c r="O78" s="4"/>
    </row>
    <row r="79" spans="1:15">
      <c r="A79" s="4" t="s">
        <v>89</v>
      </c>
      <c r="B79">
        <v>6.3E-2</v>
      </c>
      <c r="C79">
        <v>1</v>
      </c>
      <c r="D79" s="4">
        <v>-0.1</v>
      </c>
      <c r="E79" s="4" t="s">
        <v>107</v>
      </c>
      <c r="F79" s="4" t="s">
        <v>24</v>
      </c>
      <c r="G79" s="4" t="s">
        <v>19</v>
      </c>
      <c r="H79" s="4" t="s">
        <v>22</v>
      </c>
      <c r="I79" s="4" t="s">
        <v>23</v>
      </c>
      <c r="J79" s="4" t="s">
        <v>18</v>
      </c>
      <c r="K79" s="4"/>
      <c r="L79" s="4"/>
      <c r="M79" s="4"/>
      <c r="N79" s="4"/>
      <c r="O79" s="4"/>
    </row>
    <row r="80" spans="1:15">
      <c r="A80" s="4" t="s">
        <v>89</v>
      </c>
      <c r="B80">
        <v>6.3E-2</v>
      </c>
      <c r="C80">
        <v>1</v>
      </c>
      <c r="D80" s="4">
        <v>-0.2</v>
      </c>
      <c r="E80" s="4" t="s">
        <v>107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>
      <c r="A81" s="4" t="s">
        <v>89</v>
      </c>
      <c r="B81">
        <v>6.3E-2</v>
      </c>
      <c r="C81">
        <v>1</v>
      </c>
      <c r="D81" s="4">
        <v>-0.3</v>
      </c>
      <c r="E81" s="4" t="s">
        <v>107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>
      <c r="A82" s="4" t="s">
        <v>90</v>
      </c>
      <c r="B82">
        <v>3.1E-2</v>
      </c>
      <c r="C82">
        <v>1</v>
      </c>
      <c r="D82" s="4">
        <v>1.6</v>
      </c>
      <c r="E82" s="4" t="s">
        <v>107</v>
      </c>
      <c r="F82" s="4" t="s">
        <v>22</v>
      </c>
      <c r="G82" s="4" t="s">
        <v>18</v>
      </c>
      <c r="H82" s="4" t="s">
        <v>26</v>
      </c>
      <c r="I82" s="4" t="s">
        <v>24</v>
      </c>
      <c r="J82" s="4" t="s">
        <v>25</v>
      </c>
      <c r="K82" s="4" t="s">
        <v>22</v>
      </c>
      <c r="L82" s="4" t="s">
        <v>18</v>
      </c>
      <c r="M82" s="4" t="s">
        <v>26</v>
      </c>
      <c r="N82" s="4" t="s">
        <v>24</v>
      </c>
      <c r="O82" s="4" t="s">
        <v>25</v>
      </c>
    </row>
    <row r="83" spans="1:15">
      <c r="A83" s="4" t="s">
        <v>90</v>
      </c>
      <c r="B83">
        <v>3.1E-2</v>
      </c>
      <c r="C83">
        <v>1</v>
      </c>
      <c r="D83" s="4">
        <v>1.5</v>
      </c>
      <c r="E83" s="4" t="s">
        <v>107</v>
      </c>
      <c r="F83" s="4" t="s">
        <v>17</v>
      </c>
      <c r="G83" s="4" t="s">
        <v>24</v>
      </c>
      <c r="H83" s="4" t="s">
        <v>26</v>
      </c>
      <c r="I83" s="4" t="s">
        <v>18</v>
      </c>
      <c r="J83" s="4" t="s">
        <v>21</v>
      </c>
      <c r="K83" s="4" t="s">
        <v>17</v>
      </c>
      <c r="L83" s="4" t="s">
        <v>24</v>
      </c>
      <c r="M83" s="4" t="s">
        <v>26</v>
      </c>
      <c r="N83" s="4" t="s">
        <v>18</v>
      </c>
      <c r="O83" s="4" t="s">
        <v>21</v>
      </c>
    </row>
    <row r="84" spans="1:15">
      <c r="A84" s="4" t="s">
        <v>90</v>
      </c>
      <c r="B84">
        <v>3.1E-2</v>
      </c>
      <c r="C84">
        <v>1</v>
      </c>
      <c r="D84" s="4">
        <v>1.4</v>
      </c>
      <c r="E84" s="4" t="s">
        <v>107</v>
      </c>
      <c r="F84" s="4" t="s">
        <v>22</v>
      </c>
      <c r="G84" s="4" t="s">
        <v>19</v>
      </c>
      <c r="H84" s="4" t="s">
        <v>18</v>
      </c>
      <c r="I84" s="4" t="s">
        <v>21</v>
      </c>
      <c r="J84" s="4" t="s">
        <v>25</v>
      </c>
      <c r="K84" s="4" t="s">
        <v>22</v>
      </c>
      <c r="L84" s="4" t="s">
        <v>19</v>
      </c>
      <c r="M84" s="4" t="s">
        <v>18</v>
      </c>
      <c r="N84" s="4" t="s">
        <v>21</v>
      </c>
      <c r="O84" s="4" t="s">
        <v>25</v>
      </c>
    </row>
    <row r="85" spans="1:15">
      <c r="A85" s="4" t="s">
        <v>90</v>
      </c>
      <c r="B85">
        <v>3.1E-2</v>
      </c>
      <c r="C85">
        <v>1</v>
      </c>
      <c r="D85" s="4">
        <v>1.3</v>
      </c>
      <c r="E85" s="4" t="s">
        <v>107</v>
      </c>
      <c r="F85" s="4" t="s">
        <v>18</v>
      </c>
      <c r="G85" s="4" t="s">
        <v>21</v>
      </c>
      <c r="H85" s="4" t="s">
        <v>23</v>
      </c>
      <c r="I85" s="4" t="s">
        <v>19</v>
      </c>
      <c r="J85" s="4" t="s">
        <v>25</v>
      </c>
      <c r="K85" s="4" t="s">
        <v>18</v>
      </c>
      <c r="L85" s="4"/>
      <c r="M85" s="4" t="s">
        <v>19</v>
      </c>
      <c r="N85" s="4"/>
      <c r="O85" s="4"/>
    </row>
    <row r="86" spans="1:15">
      <c r="A86" s="4" t="s">
        <v>90</v>
      </c>
      <c r="B86">
        <v>3.1E-2</v>
      </c>
      <c r="C86">
        <v>1</v>
      </c>
      <c r="D86" s="4">
        <v>1.2</v>
      </c>
      <c r="E86" s="4" t="s">
        <v>107</v>
      </c>
      <c r="F86" s="4" t="s">
        <v>25</v>
      </c>
      <c r="G86" s="4" t="s">
        <v>17</v>
      </c>
      <c r="H86" s="4" t="s">
        <v>18</v>
      </c>
      <c r="I86" s="4" t="s">
        <v>22</v>
      </c>
      <c r="J86" s="4" t="s">
        <v>20</v>
      </c>
      <c r="K86" s="4"/>
      <c r="L86" s="4"/>
      <c r="M86" s="4"/>
      <c r="N86" s="4"/>
      <c r="O86" s="4"/>
    </row>
    <row r="87" spans="1:15">
      <c r="A87" s="4" t="s">
        <v>90</v>
      </c>
      <c r="B87">
        <v>3.1E-2</v>
      </c>
      <c r="C87">
        <v>1</v>
      </c>
      <c r="D87" s="4">
        <v>1.1000000000000001</v>
      </c>
      <c r="E87" s="4" t="s">
        <v>107</v>
      </c>
      <c r="F87" s="4" t="s">
        <v>20</v>
      </c>
      <c r="G87" s="4" t="s">
        <v>22</v>
      </c>
      <c r="H87" s="4" t="s">
        <v>24</v>
      </c>
      <c r="I87" s="4" t="s">
        <v>17</v>
      </c>
      <c r="J87" s="4" t="s">
        <v>21</v>
      </c>
      <c r="K87" s="4"/>
      <c r="L87" s="4"/>
      <c r="M87" s="4"/>
      <c r="N87" s="4"/>
      <c r="O87" s="4"/>
    </row>
    <row r="88" spans="1:15">
      <c r="A88" s="4" t="s">
        <v>90</v>
      </c>
      <c r="B88">
        <v>3.1E-2</v>
      </c>
      <c r="C88">
        <v>1</v>
      </c>
      <c r="D88" s="4">
        <v>1</v>
      </c>
      <c r="E88" s="4" t="s">
        <v>107</v>
      </c>
      <c r="F88" s="4" t="s">
        <v>19</v>
      </c>
      <c r="G88" s="4" t="s">
        <v>25</v>
      </c>
      <c r="H88" s="4" t="s">
        <v>26</v>
      </c>
      <c r="I88" s="4" t="s">
        <v>18</v>
      </c>
      <c r="J88" s="4" t="s">
        <v>21</v>
      </c>
      <c r="K88" s="4"/>
      <c r="L88" s="4"/>
      <c r="M88" s="4"/>
      <c r="N88" s="4"/>
      <c r="O88" s="4"/>
    </row>
    <row r="89" spans="1:15">
      <c r="A89" s="4" t="s">
        <v>90</v>
      </c>
      <c r="B89">
        <v>3.1E-2</v>
      </c>
      <c r="C89">
        <v>1</v>
      </c>
      <c r="D89" s="4">
        <v>0.9</v>
      </c>
      <c r="E89" s="4" t="s">
        <v>107</v>
      </c>
      <c r="F89" s="4" t="s">
        <v>25</v>
      </c>
      <c r="G89" s="4" t="s">
        <v>18</v>
      </c>
      <c r="H89" s="4" t="s">
        <v>23</v>
      </c>
      <c r="I89" s="4" t="s">
        <v>19</v>
      </c>
      <c r="J89" s="4" t="s">
        <v>17</v>
      </c>
      <c r="K89" s="4"/>
      <c r="L89" s="4"/>
      <c r="M89" s="4"/>
      <c r="N89" s="4"/>
      <c r="O89" s="4"/>
    </row>
    <row r="90" spans="1:15">
      <c r="A90" s="4" t="s">
        <v>90</v>
      </c>
      <c r="B90">
        <v>3.1E-2</v>
      </c>
      <c r="C90">
        <v>1</v>
      </c>
      <c r="D90" s="4">
        <v>0.8</v>
      </c>
      <c r="E90" s="4" t="s">
        <v>107</v>
      </c>
      <c r="F90" s="4" t="s">
        <v>23</v>
      </c>
      <c r="G90" s="4" t="s">
        <v>19</v>
      </c>
      <c r="H90" s="4" t="s">
        <v>25</v>
      </c>
      <c r="I90" s="4" t="s">
        <v>26</v>
      </c>
      <c r="J90" s="4" t="s">
        <v>24</v>
      </c>
      <c r="K90" s="4"/>
      <c r="L90" s="4"/>
      <c r="M90" s="4"/>
      <c r="N90" s="4"/>
      <c r="O90" s="4"/>
    </row>
    <row r="91" spans="1:15">
      <c r="A91" s="4" t="s">
        <v>90</v>
      </c>
      <c r="B91">
        <v>3.1E-2</v>
      </c>
      <c r="C91">
        <v>1</v>
      </c>
      <c r="D91" s="4">
        <v>0.7</v>
      </c>
      <c r="E91" s="4" t="s">
        <v>107</v>
      </c>
      <c r="F91" s="4" t="s">
        <v>23</v>
      </c>
      <c r="G91" s="4" t="s">
        <v>24</v>
      </c>
      <c r="H91" s="4" t="s">
        <v>17</v>
      </c>
      <c r="I91" s="4" t="s">
        <v>22</v>
      </c>
      <c r="J91" s="4" t="s">
        <v>19</v>
      </c>
      <c r="K91" s="4"/>
      <c r="L91" s="4"/>
      <c r="M91" s="4"/>
      <c r="N91" s="4"/>
      <c r="O91" s="4"/>
    </row>
    <row r="92" spans="1:15">
      <c r="A92" s="4" t="s">
        <v>90</v>
      </c>
      <c r="B92">
        <v>3.1E-2</v>
      </c>
      <c r="C92">
        <v>1</v>
      </c>
      <c r="D92" s="4">
        <v>0.6</v>
      </c>
      <c r="E92" s="4" t="s">
        <v>107</v>
      </c>
      <c r="F92" s="4" t="s">
        <v>25</v>
      </c>
      <c r="G92" s="4" t="s">
        <v>21</v>
      </c>
      <c r="H92" s="4" t="s">
        <v>24</v>
      </c>
      <c r="I92" s="4" t="s">
        <v>26</v>
      </c>
      <c r="J92" s="4" t="s">
        <v>20</v>
      </c>
      <c r="K92" s="4"/>
      <c r="L92" s="4"/>
      <c r="M92" s="4"/>
      <c r="N92" s="4"/>
      <c r="O92" s="4"/>
    </row>
    <row r="93" spans="1:15">
      <c r="A93" s="4" t="s">
        <v>90</v>
      </c>
      <c r="B93">
        <v>3.1E-2</v>
      </c>
      <c r="C93">
        <v>1</v>
      </c>
      <c r="D93" s="4">
        <v>0.5</v>
      </c>
      <c r="E93" s="4" t="s">
        <v>107</v>
      </c>
      <c r="F93" s="4" t="s">
        <v>21</v>
      </c>
      <c r="G93" s="4" t="s">
        <v>17</v>
      </c>
      <c r="H93" s="4" t="s">
        <v>25</v>
      </c>
      <c r="I93" s="4" t="s">
        <v>24</v>
      </c>
      <c r="J93" s="4" t="s">
        <v>23</v>
      </c>
      <c r="K93" s="4"/>
      <c r="L93" s="4"/>
      <c r="M93" s="4"/>
      <c r="N93" s="4"/>
      <c r="O93" s="4"/>
    </row>
    <row r="94" spans="1:15">
      <c r="A94" s="4" t="s">
        <v>90</v>
      </c>
      <c r="B94">
        <v>3.1E-2</v>
      </c>
      <c r="C94">
        <v>1</v>
      </c>
      <c r="D94" s="4">
        <v>0.4</v>
      </c>
      <c r="E94" s="4" t="s">
        <v>107</v>
      </c>
      <c r="F94" s="4" t="s">
        <v>21</v>
      </c>
      <c r="G94" s="4" t="s">
        <v>25</v>
      </c>
      <c r="H94" s="4" t="s">
        <v>18</v>
      </c>
      <c r="I94" s="4" t="s">
        <v>22</v>
      </c>
      <c r="J94" s="4" t="s">
        <v>17</v>
      </c>
      <c r="K94" s="4"/>
      <c r="L94" s="4"/>
      <c r="M94" s="4"/>
      <c r="N94" s="4"/>
      <c r="O94" s="4"/>
    </row>
    <row r="95" spans="1:15">
      <c r="A95" s="4" t="s">
        <v>90</v>
      </c>
      <c r="B95">
        <v>3.1E-2</v>
      </c>
      <c r="C95">
        <v>1</v>
      </c>
      <c r="D95" s="4">
        <v>0.3</v>
      </c>
      <c r="E95" s="4" t="s">
        <v>107</v>
      </c>
      <c r="F95" s="4" t="s">
        <v>22</v>
      </c>
      <c r="G95" s="4" t="s">
        <v>25</v>
      </c>
      <c r="H95" s="4" t="s">
        <v>21</v>
      </c>
      <c r="I95" s="4" t="s">
        <v>19</v>
      </c>
      <c r="J95" s="4" t="s">
        <v>18</v>
      </c>
      <c r="K95" s="4"/>
      <c r="L95" s="4"/>
      <c r="M95" s="4"/>
      <c r="N95" s="4"/>
      <c r="O95" s="4"/>
    </row>
    <row r="96" spans="1:15">
      <c r="A96" s="4" t="s">
        <v>90</v>
      </c>
      <c r="B96">
        <v>3.1E-2</v>
      </c>
      <c r="C96">
        <v>1</v>
      </c>
      <c r="D96" s="4">
        <v>0.2</v>
      </c>
      <c r="E96" s="4" t="s">
        <v>107</v>
      </c>
      <c r="F96" s="4" t="s">
        <v>25</v>
      </c>
      <c r="G96" s="4" t="s">
        <v>17</v>
      </c>
      <c r="H96" s="4" t="s">
        <v>20</v>
      </c>
      <c r="I96" s="4" t="s">
        <v>19</v>
      </c>
      <c r="J96" s="4" t="s">
        <v>23</v>
      </c>
      <c r="K96" s="4"/>
      <c r="L96" s="4"/>
      <c r="M96" s="4"/>
      <c r="N96" s="4"/>
      <c r="O96" s="4"/>
    </row>
    <row r="97" spans="1:15">
      <c r="A97" s="4" t="s">
        <v>90</v>
      </c>
      <c r="B97">
        <v>3.1E-2</v>
      </c>
      <c r="C97">
        <v>1</v>
      </c>
      <c r="D97" s="4">
        <v>0.1</v>
      </c>
      <c r="E97" s="4" t="s">
        <v>107</v>
      </c>
      <c r="F97" s="4" t="s">
        <v>21</v>
      </c>
      <c r="G97" s="4" t="s">
        <v>25</v>
      </c>
      <c r="H97" s="4" t="s">
        <v>22</v>
      </c>
      <c r="I97" s="4" t="s">
        <v>17</v>
      </c>
      <c r="J97" s="4" t="s">
        <v>19</v>
      </c>
      <c r="K97" s="4"/>
      <c r="L97" s="4"/>
      <c r="M97" s="4"/>
      <c r="N97" s="4"/>
      <c r="O97" s="4"/>
    </row>
    <row r="98" spans="1:15">
      <c r="A98" s="4" t="s">
        <v>90</v>
      </c>
      <c r="B98">
        <v>3.1E-2</v>
      </c>
      <c r="C98">
        <v>1</v>
      </c>
      <c r="D98" s="4">
        <v>0</v>
      </c>
      <c r="E98" s="4" t="s">
        <v>107</v>
      </c>
      <c r="F98" s="4" t="s">
        <v>26</v>
      </c>
      <c r="G98" s="4" t="s">
        <v>21</v>
      </c>
      <c r="H98" s="4" t="s">
        <v>19</v>
      </c>
      <c r="I98" s="4" t="s">
        <v>23</v>
      </c>
      <c r="J98" s="4" t="s">
        <v>20</v>
      </c>
      <c r="K98" s="4"/>
      <c r="L98" s="4"/>
      <c r="M98" s="4"/>
      <c r="N98" s="4"/>
      <c r="O98" s="4"/>
    </row>
    <row r="99" spans="1:15">
      <c r="A99" s="4" t="s">
        <v>90</v>
      </c>
      <c r="B99">
        <v>3.1E-2</v>
      </c>
      <c r="C99">
        <v>1</v>
      </c>
      <c r="D99" s="4">
        <v>-0.1</v>
      </c>
      <c r="E99" s="4" t="s">
        <v>107</v>
      </c>
      <c r="F99" s="4" t="s">
        <v>25</v>
      </c>
      <c r="G99" s="4" t="s">
        <v>21</v>
      </c>
      <c r="H99" s="4" t="s">
        <v>19</v>
      </c>
      <c r="I99" s="4" t="s">
        <v>24</v>
      </c>
      <c r="J99" s="4" t="s">
        <v>17</v>
      </c>
      <c r="K99" s="4"/>
      <c r="L99" s="4"/>
      <c r="M99" s="4"/>
      <c r="N99" s="4"/>
      <c r="O99" s="4"/>
    </row>
    <row r="100" spans="1:15">
      <c r="A100" s="4" t="s">
        <v>90</v>
      </c>
      <c r="B100">
        <v>3.1E-2</v>
      </c>
      <c r="C100">
        <v>1</v>
      </c>
      <c r="D100" s="4">
        <v>-0.2</v>
      </c>
      <c r="E100" s="4" t="s">
        <v>107</v>
      </c>
      <c r="F100" s="4" t="s">
        <v>24</v>
      </c>
      <c r="G100" s="4" t="s">
        <v>22</v>
      </c>
      <c r="H100" s="4" t="s">
        <v>18</v>
      </c>
      <c r="I100" s="4" t="s">
        <v>19</v>
      </c>
      <c r="J100" s="4" t="s">
        <v>25</v>
      </c>
      <c r="K100" s="4"/>
      <c r="L100" s="4"/>
      <c r="M100" s="4"/>
      <c r="N100" s="4"/>
      <c r="O100" s="4"/>
    </row>
    <row r="101" spans="1:15">
      <c r="A101" s="4" t="s">
        <v>90</v>
      </c>
      <c r="B101">
        <v>3.1E-2</v>
      </c>
      <c r="C101">
        <v>1</v>
      </c>
      <c r="D101" s="4">
        <v>-0.3</v>
      </c>
      <c r="E101" s="4" t="s">
        <v>107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>
      <c r="A102" s="4" t="s">
        <v>91</v>
      </c>
      <c r="B102">
        <v>1.6E-2</v>
      </c>
      <c r="C102">
        <v>1</v>
      </c>
      <c r="D102" s="4">
        <v>1.6</v>
      </c>
      <c r="E102" s="4" t="s">
        <v>107</v>
      </c>
      <c r="F102" s="4" t="s">
        <v>25</v>
      </c>
      <c r="G102" s="4" t="s">
        <v>18</v>
      </c>
      <c r="H102" s="4" t="s">
        <v>23</v>
      </c>
      <c r="I102" s="4" t="s">
        <v>24</v>
      </c>
      <c r="J102" s="4" t="s">
        <v>19</v>
      </c>
      <c r="K102" s="4" t="s">
        <v>25</v>
      </c>
      <c r="L102" s="4" t="s">
        <v>18</v>
      </c>
      <c r="M102" s="4" t="s">
        <v>23</v>
      </c>
      <c r="N102" s="4" t="s">
        <v>24</v>
      </c>
      <c r="O102" s="4" t="s">
        <v>19</v>
      </c>
    </row>
    <row r="103" spans="1:15">
      <c r="A103" s="4" t="s">
        <v>91</v>
      </c>
      <c r="B103">
        <v>1.6E-2</v>
      </c>
      <c r="C103">
        <v>1</v>
      </c>
      <c r="D103" s="4">
        <v>1.5</v>
      </c>
      <c r="E103" s="4" t="s">
        <v>107</v>
      </c>
      <c r="F103" s="4" t="s">
        <v>20</v>
      </c>
      <c r="G103" s="4" t="s">
        <v>25</v>
      </c>
      <c r="H103" s="4" t="s">
        <v>26</v>
      </c>
      <c r="I103" s="4" t="s">
        <v>22</v>
      </c>
      <c r="J103" s="4" t="s">
        <v>17</v>
      </c>
      <c r="K103" s="4" t="s">
        <v>20</v>
      </c>
      <c r="L103" s="4"/>
      <c r="M103" s="4" t="s">
        <v>26</v>
      </c>
      <c r="N103" s="4" t="s">
        <v>22</v>
      </c>
      <c r="O103" s="4" t="s">
        <v>17</v>
      </c>
    </row>
    <row r="104" spans="1:15">
      <c r="A104" s="4" t="s">
        <v>91</v>
      </c>
      <c r="B104">
        <v>1.6E-2</v>
      </c>
      <c r="C104">
        <v>1</v>
      </c>
      <c r="D104" s="4">
        <v>1.4</v>
      </c>
      <c r="E104" s="4" t="s">
        <v>107</v>
      </c>
      <c r="F104" s="4" t="s">
        <v>26</v>
      </c>
      <c r="G104" s="4" t="s">
        <v>21</v>
      </c>
      <c r="H104" s="4" t="s">
        <v>19</v>
      </c>
      <c r="I104" s="4" t="s">
        <v>20</v>
      </c>
      <c r="J104" s="4" t="s">
        <v>23</v>
      </c>
      <c r="K104" s="4"/>
      <c r="L104" s="4"/>
      <c r="M104" s="4"/>
      <c r="N104" s="4"/>
      <c r="O104" s="4"/>
    </row>
    <row r="105" spans="1:15">
      <c r="A105" s="4" t="s">
        <v>91</v>
      </c>
      <c r="B105">
        <v>1.6E-2</v>
      </c>
      <c r="C105">
        <v>1</v>
      </c>
      <c r="D105" s="4">
        <v>1.3</v>
      </c>
      <c r="E105" s="4" t="s">
        <v>107</v>
      </c>
      <c r="F105" s="4" t="s">
        <v>19</v>
      </c>
      <c r="G105" s="4" t="s">
        <v>21</v>
      </c>
      <c r="H105" s="4" t="s">
        <v>22</v>
      </c>
      <c r="I105" s="4" t="s">
        <v>17</v>
      </c>
      <c r="J105" s="4" t="s">
        <v>25</v>
      </c>
      <c r="K105" s="4"/>
      <c r="L105" s="4"/>
      <c r="M105" s="4"/>
      <c r="N105" s="4"/>
      <c r="O105" s="4"/>
    </row>
    <row r="106" spans="1:15">
      <c r="A106" s="4" t="s">
        <v>91</v>
      </c>
      <c r="B106">
        <v>1.6E-2</v>
      </c>
      <c r="C106">
        <v>1</v>
      </c>
      <c r="D106" s="4">
        <v>1.2</v>
      </c>
      <c r="E106" s="4" t="s">
        <v>107</v>
      </c>
      <c r="F106" s="4" t="s">
        <v>18</v>
      </c>
      <c r="G106" s="4" t="s">
        <v>17</v>
      </c>
      <c r="H106" s="4" t="s">
        <v>20</v>
      </c>
      <c r="I106" s="4" t="s">
        <v>25</v>
      </c>
      <c r="J106" s="4" t="s">
        <v>19</v>
      </c>
      <c r="K106" s="4"/>
      <c r="L106" s="4"/>
      <c r="M106" s="4"/>
      <c r="N106" s="4"/>
      <c r="O106" s="4"/>
    </row>
    <row r="107" spans="1:15">
      <c r="A107" s="4" t="s">
        <v>91</v>
      </c>
      <c r="B107">
        <v>1.6E-2</v>
      </c>
      <c r="C107">
        <v>1</v>
      </c>
      <c r="D107" s="4">
        <v>1.1000000000000001</v>
      </c>
      <c r="E107" s="4" t="s">
        <v>107</v>
      </c>
      <c r="F107" s="4" t="s">
        <v>26</v>
      </c>
      <c r="G107" s="4" t="s">
        <v>23</v>
      </c>
      <c r="H107" s="4" t="s">
        <v>22</v>
      </c>
      <c r="I107" s="4" t="s">
        <v>20</v>
      </c>
      <c r="J107" s="4" t="s">
        <v>24</v>
      </c>
      <c r="K107" s="4"/>
      <c r="L107" s="4"/>
      <c r="M107" s="4"/>
      <c r="N107" s="4"/>
      <c r="O107" s="4"/>
    </row>
    <row r="108" spans="1:15">
      <c r="A108" s="4" t="s">
        <v>91</v>
      </c>
      <c r="B108">
        <v>1.6E-2</v>
      </c>
      <c r="C108">
        <v>1</v>
      </c>
      <c r="D108" s="4">
        <v>1</v>
      </c>
      <c r="E108" s="4" t="s">
        <v>107</v>
      </c>
      <c r="F108" s="4" t="s">
        <v>17</v>
      </c>
      <c r="G108" s="4" t="s">
        <v>20</v>
      </c>
      <c r="H108" s="4" t="s">
        <v>22</v>
      </c>
      <c r="I108" s="4" t="s">
        <v>19</v>
      </c>
      <c r="J108" s="4" t="s">
        <v>18</v>
      </c>
      <c r="K108" s="4"/>
      <c r="L108" s="4"/>
      <c r="M108" s="4"/>
      <c r="N108" s="4"/>
      <c r="O108" s="4"/>
    </row>
    <row r="109" spans="1:15">
      <c r="A109" s="4" t="s">
        <v>91</v>
      </c>
      <c r="B109">
        <v>1.6E-2</v>
      </c>
      <c r="C109">
        <v>1</v>
      </c>
      <c r="D109" s="4">
        <v>0.9</v>
      </c>
      <c r="E109" s="4" t="s">
        <v>107</v>
      </c>
      <c r="F109" s="4" t="s">
        <v>24</v>
      </c>
      <c r="G109" s="4" t="s">
        <v>18</v>
      </c>
      <c r="H109" s="4" t="s">
        <v>20</v>
      </c>
      <c r="I109" s="4" t="s">
        <v>21</v>
      </c>
      <c r="J109" s="4" t="s">
        <v>19</v>
      </c>
      <c r="K109" s="4"/>
      <c r="L109" s="4"/>
      <c r="M109" s="4"/>
      <c r="N109" s="4"/>
      <c r="O109" s="4"/>
    </row>
    <row r="110" spans="1:15">
      <c r="A110" s="4" t="s">
        <v>91</v>
      </c>
      <c r="B110">
        <v>1.6E-2</v>
      </c>
      <c r="C110">
        <v>1</v>
      </c>
      <c r="D110" s="4">
        <v>0.8</v>
      </c>
      <c r="E110" s="4" t="s">
        <v>107</v>
      </c>
      <c r="F110" s="4" t="s">
        <v>26</v>
      </c>
      <c r="G110" s="4" t="s">
        <v>21</v>
      </c>
      <c r="H110" s="4" t="s">
        <v>22</v>
      </c>
      <c r="I110" s="4" t="s">
        <v>23</v>
      </c>
      <c r="J110" s="4" t="s">
        <v>18</v>
      </c>
      <c r="K110" s="4"/>
      <c r="L110" s="4"/>
      <c r="M110" s="4"/>
      <c r="N110" s="4"/>
      <c r="O110" s="4"/>
    </row>
    <row r="111" spans="1:15">
      <c r="A111" s="4" t="s">
        <v>91</v>
      </c>
      <c r="B111">
        <v>1.6E-2</v>
      </c>
      <c r="C111">
        <v>1</v>
      </c>
      <c r="D111" s="4">
        <v>0.7</v>
      </c>
      <c r="E111" s="4" t="s">
        <v>107</v>
      </c>
      <c r="F111" s="4" t="s">
        <v>17</v>
      </c>
      <c r="G111" s="4" t="s">
        <v>25</v>
      </c>
      <c r="H111" s="4" t="s">
        <v>24</v>
      </c>
      <c r="I111" s="4" t="s">
        <v>19</v>
      </c>
      <c r="J111" s="4" t="s">
        <v>20</v>
      </c>
      <c r="K111" s="4"/>
      <c r="L111" s="4"/>
      <c r="M111" s="4"/>
      <c r="N111" s="4"/>
      <c r="O111" s="4"/>
    </row>
    <row r="112" spans="1:15">
      <c r="A112" s="4" t="s">
        <v>91</v>
      </c>
      <c r="B112">
        <v>1.6E-2</v>
      </c>
      <c r="C112">
        <v>1</v>
      </c>
      <c r="D112" s="4">
        <v>0.6</v>
      </c>
      <c r="E112" s="4" t="s">
        <v>107</v>
      </c>
      <c r="F112" s="4" t="s">
        <v>18</v>
      </c>
      <c r="G112" s="4" t="s">
        <v>22</v>
      </c>
      <c r="H112" s="4" t="s">
        <v>17</v>
      </c>
      <c r="I112" s="4" t="s">
        <v>19</v>
      </c>
      <c r="J112" s="4" t="s">
        <v>25</v>
      </c>
      <c r="K112" s="4"/>
      <c r="L112" s="4"/>
      <c r="M112" s="4"/>
      <c r="N112" s="4"/>
      <c r="O112" s="4"/>
    </row>
    <row r="113" spans="1:15">
      <c r="A113" s="4" t="s">
        <v>91</v>
      </c>
      <c r="B113">
        <v>1.6E-2</v>
      </c>
      <c r="C113">
        <v>1</v>
      </c>
      <c r="D113" s="4">
        <v>0.5</v>
      </c>
      <c r="E113" s="4" t="s">
        <v>107</v>
      </c>
      <c r="F113" s="4" t="s">
        <v>18</v>
      </c>
      <c r="G113" s="4" t="s">
        <v>19</v>
      </c>
      <c r="H113" s="4" t="s">
        <v>20</v>
      </c>
      <c r="I113" s="4" t="s">
        <v>26</v>
      </c>
      <c r="J113" s="4" t="s">
        <v>17</v>
      </c>
      <c r="K113" s="4"/>
      <c r="L113" s="4"/>
      <c r="M113" s="4"/>
      <c r="N113" s="4"/>
      <c r="O113" s="4"/>
    </row>
    <row r="114" spans="1:15">
      <c r="A114" s="4" t="s">
        <v>91</v>
      </c>
      <c r="B114">
        <v>1.6E-2</v>
      </c>
      <c r="C114">
        <v>1</v>
      </c>
      <c r="D114" s="4">
        <v>0.4</v>
      </c>
      <c r="E114" s="4" t="s">
        <v>107</v>
      </c>
      <c r="F114" s="4" t="s">
        <v>17</v>
      </c>
      <c r="G114" s="4" t="s">
        <v>22</v>
      </c>
      <c r="H114" s="4" t="s">
        <v>20</v>
      </c>
      <c r="I114" s="4" t="s">
        <v>25</v>
      </c>
      <c r="J114" s="4" t="s">
        <v>26</v>
      </c>
      <c r="K114" s="4"/>
      <c r="L114" s="4"/>
      <c r="M114" s="4"/>
      <c r="N114" s="4"/>
      <c r="O114" s="4"/>
    </row>
    <row r="115" spans="1:15">
      <c r="A115" s="4" t="s">
        <v>91</v>
      </c>
      <c r="B115">
        <v>1.6E-2</v>
      </c>
      <c r="C115">
        <v>1</v>
      </c>
      <c r="D115" s="4">
        <v>0.3</v>
      </c>
      <c r="E115" s="4" t="s">
        <v>107</v>
      </c>
      <c r="F115" s="4" t="s">
        <v>25</v>
      </c>
      <c r="G115" s="4" t="s">
        <v>19</v>
      </c>
      <c r="H115" s="4" t="s">
        <v>26</v>
      </c>
      <c r="I115" s="4" t="s">
        <v>18</v>
      </c>
      <c r="J115" s="4" t="s">
        <v>22</v>
      </c>
      <c r="K115" s="4"/>
      <c r="L115" s="4"/>
      <c r="M115" s="4"/>
      <c r="N115" s="4"/>
      <c r="O115" s="4"/>
    </row>
    <row r="116" spans="1:15">
      <c r="A116" s="4" t="s">
        <v>91</v>
      </c>
      <c r="B116">
        <v>1.6E-2</v>
      </c>
      <c r="C116">
        <v>1</v>
      </c>
      <c r="D116" s="4">
        <v>0.2</v>
      </c>
      <c r="E116" s="4" t="s">
        <v>107</v>
      </c>
      <c r="F116" s="4" t="s">
        <v>17</v>
      </c>
      <c r="G116" s="4" t="s">
        <v>23</v>
      </c>
      <c r="H116" s="4" t="s">
        <v>22</v>
      </c>
      <c r="I116" s="4" t="s">
        <v>24</v>
      </c>
      <c r="J116" s="4" t="s">
        <v>20</v>
      </c>
      <c r="K116" s="4"/>
      <c r="L116" s="4"/>
      <c r="M116" s="4"/>
      <c r="N116" s="4"/>
      <c r="O116" s="4"/>
    </row>
    <row r="117" spans="1:15">
      <c r="A117" s="4" t="s">
        <v>91</v>
      </c>
      <c r="B117">
        <v>1.6E-2</v>
      </c>
      <c r="C117">
        <v>1</v>
      </c>
      <c r="D117" s="4">
        <v>0.1</v>
      </c>
      <c r="E117" s="4" t="s">
        <v>107</v>
      </c>
      <c r="F117" s="4" t="s">
        <v>21</v>
      </c>
      <c r="G117" s="4" t="s">
        <v>18</v>
      </c>
      <c r="H117" s="4" t="s">
        <v>25</v>
      </c>
      <c r="I117" s="4" t="s">
        <v>26</v>
      </c>
      <c r="J117" s="4" t="s">
        <v>24</v>
      </c>
      <c r="K117" s="4"/>
      <c r="L117" s="4"/>
      <c r="M117" s="4"/>
      <c r="N117" s="4"/>
      <c r="O117" s="4"/>
    </row>
    <row r="118" spans="1:15">
      <c r="A118" s="4" t="s">
        <v>91</v>
      </c>
      <c r="B118">
        <v>1.6E-2</v>
      </c>
      <c r="C118">
        <v>1</v>
      </c>
      <c r="D118" s="4">
        <v>0</v>
      </c>
      <c r="E118" s="4" t="s">
        <v>107</v>
      </c>
      <c r="F118" s="4" t="s">
        <v>22</v>
      </c>
      <c r="G118" s="4" t="s">
        <v>24</v>
      </c>
      <c r="H118" s="4" t="s">
        <v>20</v>
      </c>
      <c r="I118" s="4" t="s">
        <v>19</v>
      </c>
      <c r="J118" s="4" t="s">
        <v>20</v>
      </c>
      <c r="K118" s="4"/>
      <c r="L118" s="4"/>
      <c r="M118" s="4"/>
      <c r="N118" s="4"/>
      <c r="O118" s="4"/>
    </row>
    <row r="119" spans="1:15">
      <c r="A119" s="4" t="s">
        <v>91</v>
      </c>
      <c r="B119">
        <v>1.6E-2</v>
      </c>
      <c r="C119">
        <v>1</v>
      </c>
      <c r="D119" s="4">
        <v>-0.1</v>
      </c>
      <c r="E119" s="4" t="s">
        <v>107</v>
      </c>
      <c r="F119" s="4" t="s">
        <v>18</v>
      </c>
      <c r="G119" s="4" t="s">
        <v>25</v>
      </c>
      <c r="H119" s="4" t="s">
        <v>23</v>
      </c>
      <c r="I119" s="4" t="s">
        <v>24</v>
      </c>
      <c r="J119" s="4" t="s">
        <v>26</v>
      </c>
      <c r="K119" s="4"/>
      <c r="L119" s="4"/>
      <c r="M119" s="4"/>
      <c r="N119" s="4"/>
      <c r="O119" s="4"/>
    </row>
    <row r="120" spans="1:15">
      <c r="A120" s="4" t="s">
        <v>91</v>
      </c>
      <c r="B120">
        <v>1.6E-2</v>
      </c>
      <c r="C120">
        <v>1</v>
      </c>
      <c r="D120" s="4">
        <v>-0.2</v>
      </c>
      <c r="E120" s="4" t="s">
        <v>107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>
      <c r="A121" s="4" t="s">
        <v>91</v>
      </c>
      <c r="B121">
        <v>1.6E-2</v>
      </c>
      <c r="C121">
        <v>1</v>
      </c>
      <c r="D121" s="4">
        <v>-0.3</v>
      </c>
      <c r="E121" s="4" t="s">
        <v>107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>
      <c r="A122" s="4" t="s">
        <v>93</v>
      </c>
      <c r="B122" s="4">
        <v>1</v>
      </c>
      <c r="C122" s="4">
        <v>0.3548</v>
      </c>
      <c r="D122" s="4">
        <v>1.7</v>
      </c>
      <c r="E122" s="4" t="s">
        <v>107</v>
      </c>
      <c r="F122" s="4" t="s">
        <v>19</v>
      </c>
      <c r="G122" s="4" t="s">
        <v>24</v>
      </c>
      <c r="H122" s="4" t="s">
        <v>25</v>
      </c>
      <c r="I122" s="4" t="s">
        <v>20</v>
      </c>
      <c r="J122" s="4" t="s">
        <v>21</v>
      </c>
      <c r="K122" s="4" t="s">
        <v>19</v>
      </c>
      <c r="L122" s="4" t="s">
        <v>24</v>
      </c>
      <c r="M122" s="4" t="s">
        <v>25</v>
      </c>
      <c r="N122" s="4" t="s">
        <v>20</v>
      </c>
      <c r="O122" s="4" t="s">
        <v>21</v>
      </c>
    </row>
    <row r="123" spans="1:15">
      <c r="A123" s="4" t="s">
        <v>93</v>
      </c>
      <c r="B123" s="4">
        <v>1</v>
      </c>
      <c r="C123" s="4">
        <v>0.3548</v>
      </c>
      <c r="D123" s="4">
        <v>1.6</v>
      </c>
      <c r="E123" s="4" t="s">
        <v>107</v>
      </c>
      <c r="F123" s="4" t="s">
        <v>21</v>
      </c>
      <c r="G123" s="4" t="s">
        <v>26</v>
      </c>
      <c r="H123" s="4" t="s">
        <v>25</v>
      </c>
      <c r="I123" s="4" t="s">
        <v>17</v>
      </c>
      <c r="J123" s="4" t="s">
        <v>20</v>
      </c>
      <c r="K123" s="4" t="s">
        <v>21</v>
      </c>
      <c r="L123" s="4" t="s">
        <v>26</v>
      </c>
      <c r="M123" s="4" t="s">
        <v>25</v>
      </c>
      <c r="N123" s="4" t="s">
        <v>17</v>
      </c>
      <c r="O123" s="4" t="s">
        <v>20</v>
      </c>
    </row>
    <row r="124" spans="1:15">
      <c r="A124" s="4" t="s">
        <v>93</v>
      </c>
      <c r="B124" s="4">
        <v>1</v>
      </c>
      <c r="C124" s="4">
        <v>0.3548</v>
      </c>
      <c r="D124" s="4">
        <v>1.5</v>
      </c>
      <c r="E124" s="4" t="s">
        <v>107</v>
      </c>
      <c r="F124" s="4" t="s">
        <v>25</v>
      </c>
      <c r="G124" s="4" t="s">
        <v>26</v>
      </c>
      <c r="H124" s="4" t="s">
        <v>21</v>
      </c>
      <c r="I124" s="4" t="s">
        <v>19</v>
      </c>
      <c r="J124" s="4" t="s">
        <v>20</v>
      </c>
      <c r="K124" s="4" t="s">
        <v>25</v>
      </c>
      <c r="L124" s="4" t="s">
        <v>26</v>
      </c>
      <c r="M124" s="4" t="s">
        <v>21</v>
      </c>
      <c r="N124" s="4" t="s">
        <v>19</v>
      </c>
      <c r="O124" s="4" t="s">
        <v>20</v>
      </c>
    </row>
    <row r="125" spans="1:15">
      <c r="A125" s="4" t="s">
        <v>93</v>
      </c>
      <c r="B125" s="4">
        <v>1</v>
      </c>
      <c r="C125" s="4">
        <v>0.3548</v>
      </c>
      <c r="D125" s="4">
        <v>1.4</v>
      </c>
      <c r="E125" s="4" t="s">
        <v>107</v>
      </c>
      <c r="F125" s="4" t="s">
        <v>19</v>
      </c>
      <c r="G125" s="4" t="s">
        <v>17</v>
      </c>
      <c r="H125" s="4" t="s">
        <v>18</v>
      </c>
      <c r="I125" s="4" t="s">
        <v>20</v>
      </c>
      <c r="J125" s="4" t="s">
        <v>25</v>
      </c>
      <c r="K125" s="4" t="s">
        <v>19</v>
      </c>
      <c r="L125" s="4" t="s">
        <v>17</v>
      </c>
      <c r="M125" s="4" t="s">
        <v>18</v>
      </c>
      <c r="N125" s="4" t="s">
        <v>20</v>
      </c>
      <c r="O125" s="4" t="s">
        <v>25</v>
      </c>
    </row>
    <row r="126" spans="1:15">
      <c r="A126" s="4" t="s">
        <v>93</v>
      </c>
      <c r="B126" s="4">
        <v>1</v>
      </c>
      <c r="C126" s="4">
        <v>0.3548</v>
      </c>
      <c r="D126" s="4">
        <v>1.3</v>
      </c>
      <c r="E126" s="4" t="s">
        <v>107</v>
      </c>
      <c r="F126" s="4" t="s">
        <v>19</v>
      </c>
      <c r="G126" s="4" t="s">
        <v>25</v>
      </c>
      <c r="H126" s="4" t="s">
        <v>26</v>
      </c>
      <c r="I126" s="4" t="s">
        <v>18</v>
      </c>
      <c r="J126" s="4" t="s">
        <v>23</v>
      </c>
      <c r="K126" s="4" t="s">
        <v>19</v>
      </c>
      <c r="L126" s="4" t="s">
        <v>25</v>
      </c>
      <c r="M126" s="4" t="s">
        <v>26</v>
      </c>
      <c r="N126" s="4" t="s">
        <v>18</v>
      </c>
      <c r="O126" s="4" t="s">
        <v>23</v>
      </c>
    </row>
    <row r="127" spans="1:15">
      <c r="A127" s="4" t="s">
        <v>93</v>
      </c>
      <c r="B127" s="4">
        <v>1</v>
      </c>
      <c r="C127" s="4">
        <v>0.3548</v>
      </c>
      <c r="D127" s="4">
        <v>1.2</v>
      </c>
      <c r="E127" s="4" t="s">
        <v>107</v>
      </c>
      <c r="F127" s="4" t="s">
        <v>22</v>
      </c>
      <c r="G127" s="4" t="s">
        <v>18</v>
      </c>
      <c r="H127" s="4" t="s">
        <v>25</v>
      </c>
      <c r="I127" s="4" t="s">
        <v>26</v>
      </c>
      <c r="J127" s="4" t="s">
        <v>21</v>
      </c>
      <c r="K127" s="4" t="s">
        <v>22</v>
      </c>
      <c r="L127" s="4" t="s">
        <v>18</v>
      </c>
      <c r="M127" s="4" t="s">
        <v>25</v>
      </c>
      <c r="N127" s="4" t="s">
        <v>26</v>
      </c>
      <c r="O127" s="4" t="s">
        <v>21</v>
      </c>
    </row>
    <row r="128" spans="1:15">
      <c r="A128" s="4" t="s">
        <v>93</v>
      </c>
      <c r="B128" s="4">
        <v>1</v>
      </c>
      <c r="C128" s="4">
        <v>0.3548</v>
      </c>
      <c r="D128" s="4">
        <v>1.1000000000000001</v>
      </c>
      <c r="E128" s="4" t="s">
        <v>107</v>
      </c>
      <c r="F128" s="4" t="s">
        <v>20</v>
      </c>
      <c r="G128" s="4" t="s">
        <v>21</v>
      </c>
      <c r="H128" s="4" t="s">
        <v>17</v>
      </c>
      <c r="I128" s="4" t="s">
        <v>25</v>
      </c>
      <c r="J128" s="4" t="s">
        <v>19</v>
      </c>
      <c r="K128" s="4" t="s">
        <v>20</v>
      </c>
      <c r="L128" s="4" t="s">
        <v>21</v>
      </c>
      <c r="M128" s="4" t="s">
        <v>17</v>
      </c>
      <c r="N128" s="4" t="s">
        <v>25</v>
      </c>
      <c r="O128" s="4" t="s">
        <v>19</v>
      </c>
    </row>
    <row r="129" spans="1:15">
      <c r="A129" s="4" t="s">
        <v>93</v>
      </c>
      <c r="B129" s="4">
        <v>1</v>
      </c>
      <c r="C129" s="4">
        <v>0.3548</v>
      </c>
      <c r="D129" s="4">
        <v>1</v>
      </c>
      <c r="E129" s="4" t="s">
        <v>107</v>
      </c>
      <c r="F129" s="4" t="s">
        <v>22</v>
      </c>
      <c r="G129" s="4" t="s">
        <v>20</v>
      </c>
      <c r="H129" s="4" t="s">
        <v>19</v>
      </c>
      <c r="I129" s="4" t="s">
        <v>26</v>
      </c>
      <c r="J129" s="4" t="s">
        <v>17</v>
      </c>
      <c r="K129" s="4" t="s">
        <v>22</v>
      </c>
      <c r="L129" s="4" t="s">
        <v>20</v>
      </c>
      <c r="M129" s="4" t="s">
        <v>19</v>
      </c>
      <c r="N129" s="4" t="s">
        <v>26</v>
      </c>
      <c r="O129" s="4" t="s">
        <v>17</v>
      </c>
    </row>
    <row r="130" spans="1:15">
      <c r="A130" s="4" t="s">
        <v>93</v>
      </c>
      <c r="B130" s="4">
        <v>1</v>
      </c>
      <c r="C130" s="4">
        <v>0.3548</v>
      </c>
      <c r="D130" s="4">
        <v>0.9</v>
      </c>
      <c r="E130" s="4" t="s">
        <v>107</v>
      </c>
      <c r="F130" s="4" t="s">
        <v>17</v>
      </c>
      <c r="G130" s="4" t="s">
        <v>22</v>
      </c>
      <c r="H130" s="4" t="s">
        <v>26</v>
      </c>
      <c r="I130" s="4" t="s">
        <v>20</v>
      </c>
      <c r="J130" s="4" t="s">
        <v>18</v>
      </c>
      <c r="K130" s="4" t="s">
        <v>17</v>
      </c>
      <c r="L130" s="4" t="s">
        <v>22</v>
      </c>
      <c r="M130" s="4" t="s">
        <v>26</v>
      </c>
      <c r="N130" s="4" t="s">
        <v>20</v>
      </c>
      <c r="O130" s="4" t="s">
        <v>18</v>
      </c>
    </row>
    <row r="131" spans="1:15">
      <c r="A131" s="4" t="s">
        <v>93</v>
      </c>
      <c r="B131" s="4">
        <v>1</v>
      </c>
      <c r="C131" s="4">
        <v>0.3548</v>
      </c>
      <c r="D131" s="4">
        <v>0.8</v>
      </c>
      <c r="E131" s="4" t="s">
        <v>107</v>
      </c>
      <c r="F131" s="4" t="s">
        <v>18</v>
      </c>
      <c r="G131" s="4" t="s">
        <v>20</v>
      </c>
      <c r="H131" s="4" t="s">
        <v>21</v>
      </c>
      <c r="I131" s="4" t="s">
        <v>26</v>
      </c>
      <c r="J131" s="4" t="s">
        <v>25</v>
      </c>
      <c r="K131" s="4" t="s">
        <v>18</v>
      </c>
      <c r="L131" s="4" t="s">
        <v>20</v>
      </c>
      <c r="M131" s="4" t="s">
        <v>21</v>
      </c>
      <c r="N131" s="4" t="s">
        <v>26</v>
      </c>
      <c r="O131" s="4" t="s">
        <v>25</v>
      </c>
    </row>
    <row r="132" spans="1:15">
      <c r="A132" s="4" t="s">
        <v>93</v>
      </c>
      <c r="B132" s="4">
        <v>1</v>
      </c>
      <c r="C132" s="4">
        <v>0.3548</v>
      </c>
      <c r="D132" s="4">
        <v>0.7</v>
      </c>
      <c r="E132" s="4" t="s">
        <v>107</v>
      </c>
      <c r="F132" s="4" t="s">
        <v>22</v>
      </c>
      <c r="G132" s="4" t="s">
        <v>25</v>
      </c>
      <c r="H132" s="4" t="s">
        <v>20</v>
      </c>
      <c r="I132" s="4" t="s">
        <v>19</v>
      </c>
      <c r="J132" s="4" t="s">
        <v>23</v>
      </c>
      <c r="K132" s="4" t="s">
        <v>22</v>
      </c>
      <c r="L132" s="4" t="s">
        <v>25</v>
      </c>
      <c r="M132" s="4" t="s">
        <v>20</v>
      </c>
      <c r="N132" s="4" t="s">
        <v>19</v>
      </c>
      <c r="O132" s="4" t="s">
        <v>23</v>
      </c>
    </row>
    <row r="133" spans="1:15">
      <c r="A133" s="4" t="s">
        <v>93</v>
      </c>
      <c r="B133" s="4">
        <v>1</v>
      </c>
      <c r="C133" s="4">
        <v>0.3548</v>
      </c>
      <c r="D133" s="4">
        <v>0.6</v>
      </c>
      <c r="E133" s="4" t="s">
        <v>107</v>
      </c>
      <c r="F133" s="4" t="s">
        <v>17</v>
      </c>
      <c r="G133" s="4" t="s">
        <v>24</v>
      </c>
      <c r="H133" s="4" t="s">
        <v>26</v>
      </c>
      <c r="I133" s="4" t="s">
        <v>23</v>
      </c>
      <c r="J133" s="4" t="s">
        <v>20</v>
      </c>
      <c r="K133" s="4" t="s">
        <v>17</v>
      </c>
      <c r="L133" s="4" t="s">
        <v>24</v>
      </c>
      <c r="M133" s="4" t="s">
        <v>26</v>
      </c>
      <c r="N133" s="4" t="s">
        <v>23</v>
      </c>
      <c r="O133" s="4" t="s">
        <v>20</v>
      </c>
    </row>
    <row r="134" spans="1:15">
      <c r="A134" s="4" t="s">
        <v>93</v>
      </c>
      <c r="B134" s="4">
        <v>1</v>
      </c>
      <c r="C134" s="4">
        <v>0.3548</v>
      </c>
      <c r="D134" s="4">
        <v>0.5</v>
      </c>
      <c r="E134" s="4" t="s">
        <v>107</v>
      </c>
      <c r="F134" s="4" t="s">
        <v>24</v>
      </c>
      <c r="G134" s="4" t="s">
        <v>26</v>
      </c>
      <c r="H134" s="4" t="s">
        <v>18</v>
      </c>
      <c r="I134" s="4" t="s">
        <v>17</v>
      </c>
      <c r="J134" s="4" t="s">
        <v>23</v>
      </c>
      <c r="K134" s="4" t="s">
        <v>24</v>
      </c>
      <c r="L134" s="4" t="s">
        <v>26</v>
      </c>
      <c r="M134" s="4" t="s">
        <v>18</v>
      </c>
      <c r="N134" s="4" t="s">
        <v>17</v>
      </c>
      <c r="O134" s="4" t="s">
        <v>23</v>
      </c>
    </row>
    <row r="135" spans="1:15">
      <c r="A135" s="4" t="s">
        <v>93</v>
      </c>
      <c r="B135" s="4">
        <v>1</v>
      </c>
      <c r="C135" s="4">
        <v>0.3548</v>
      </c>
      <c r="D135" s="4">
        <v>0.4</v>
      </c>
      <c r="E135" s="4" t="s">
        <v>107</v>
      </c>
      <c r="F135" s="4" t="s">
        <v>21</v>
      </c>
      <c r="G135" s="4" t="s">
        <v>26</v>
      </c>
      <c r="H135" s="4" t="s">
        <v>20</v>
      </c>
      <c r="I135" s="4" t="s">
        <v>24</v>
      </c>
      <c r="J135" s="4" t="s">
        <v>18</v>
      </c>
      <c r="K135" s="4" t="s">
        <v>21</v>
      </c>
      <c r="L135" s="4" t="s">
        <v>26</v>
      </c>
      <c r="M135" s="4" t="s">
        <v>20</v>
      </c>
      <c r="N135" s="4" t="s">
        <v>24</v>
      </c>
      <c r="O135" s="4" t="s">
        <v>18</v>
      </c>
    </row>
    <row r="136" spans="1:15">
      <c r="A136" s="4" t="s">
        <v>93</v>
      </c>
      <c r="B136" s="4">
        <v>1</v>
      </c>
      <c r="C136" s="4">
        <v>0.3548</v>
      </c>
      <c r="D136" s="4">
        <v>0.3</v>
      </c>
      <c r="E136" s="4" t="s">
        <v>107</v>
      </c>
      <c r="F136" s="4" t="s">
        <v>26</v>
      </c>
      <c r="G136" s="4" t="s">
        <v>21</v>
      </c>
      <c r="H136" s="4" t="s">
        <v>23</v>
      </c>
      <c r="I136" s="4" t="s">
        <v>19</v>
      </c>
      <c r="J136" s="4" t="s">
        <v>18</v>
      </c>
      <c r="K136" s="4" t="s">
        <v>26</v>
      </c>
      <c r="L136" s="4" t="s">
        <v>21</v>
      </c>
      <c r="M136" s="4" t="s">
        <v>23</v>
      </c>
      <c r="N136" s="4" t="s">
        <v>19</v>
      </c>
      <c r="O136" s="4" t="s">
        <v>18</v>
      </c>
    </row>
    <row r="137" spans="1:15">
      <c r="A137" s="4" t="s">
        <v>93</v>
      </c>
      <c r="B137" s="4">
        <v>1</v>
      </c>
      <c r="C137" s="4">
        <v>0.3548</v>
      </c>
      <c r="D137" s="4">
        <v>0.2</v>
      </c>
      <c r="E137" s="4" t="s">
        <v>107</v>
      </c>
      <c r="F137" s="4" t="s">
        <v>19</v>
      </c>
      <c r="G137" s="4" t="s">
        <v>21</v>
      </c>
      <c r="H137" s="4" t="s">
        <v>22</v>
      </c>
      <c r="I137" s="4" t="s">
        <v>23</v>
      </c>
      <c r="J137" s="4" t="s">
        <v>24</v>
      </c>
      <c r="K137" s="4" t="s">
        <v>19</v>
      </c>
      <c r="L137" s="4" t="s">
        <v>21</v>
      </c>
      <c r="M137" s="4" t="s">
        <v>22</v>
      </c>
      <c r="N137" s="4" t="s">
        <v>23</v>
      </c>
      <c r="O137" s="4" t="s">
        <v>24</v>
      </c>
    </row>
    <row r="138" spans="1:15">
      <c r="A138" s="4" t="s">
        <v>93</v>
      </c>
      <c r="B138" s="4">
        <v>1</v>
      </c>
      <c r="C138" s="4">
        <v>0.3548</v>
      </c>
      <c r="D138" s="4">
        <v>0.1</v>
      </c>
      <c r="E138" s="4" t="s">
        <v>107</v>
      </c>
      <c r="F138" s="4" t="s">
        <v>19</v>
      </c>
      <c r="G138" s="4" t="s">
        <v>21</v>
      </c>
      <c r="H138" s="4" t="s">
        <v>17</v>
      </c>
      <c r="I138" s="4" t="s">
        <v>26</v>
      </c>
      <c r="J138" s="4" t="s">
        <v>25</v>
      </c>
      <c r="K138" s="4" t="s">
        <v>19</v>
      </c>
      <c r="L138" s="4" t="s">
        <v>21</v>
      </c>
      <c r="M138" s="4" t="s">
        <v>17</v>
      </c>
      <c r="N138" s="4" t="s">
        <v>26</v>
      </c>
      <c r="O138" s="4" t="s">
        <v>25</v>
      </c>
    </row>
    <row r="139" spans="1:15">
      <c r="A139" s="4" t="s">
        <v>93</v>
      </c>
      <c r="B139" s="4">
        <v>1</v>
      </c>
      <c r="C139" s="4">
        <v>0.3548</v>
      </c>
      <c r="D139" s="4">
        <v>0</v>
      </c>
      <c r="E139" s="4" t="s">
        <v>107</v>
      </c>
      <c r="F139" s="4" t="s">
        <v>26</v>
      </c>
      <c r="G139" s="4" t="s">
        <v>22</v>
      </c>
      <c r="H139" s="4" t="s">
        <v>20</v>
      </c>
      <c r="I139" s="4" t="s">
        <v>25</v>
      </c>
      <c r="J139" s="4" t="s">
        <v>19</v>
      </c>
      <c r="K139" s="4" t="s">
        <v>26</v>
      </c>
      <c r="L139" s="4" t="s">
        <v>22</v>
      </c>
      <c r="M139" s="4" t="s">
        <v>20</v>
      </c>
      <c r="N139" s="4"/>
      <c r="O139" s="4" t="s">
        <v>19</v>
      </c>
    </row>
    <row r="140" spans="1:15">
      <c r="A140" s="4" t="s">
        <v>93</v>
      </c>
      <c r="B140" s="4">
        <v>1</v>
      </c>
      <c r="C140" s="4">
        <v>0.3548</v>
      </c>
      <c r="D140" s="4">
        <v>-0.1</v>
      </c>
      <c r="E140" s="4" t="s">
        <v>107</v>
      </c>
      <c r="F140" s="4" t="s">
        <v>23</v>
      </c>
      <c r="G140" s="4" t="s">
        <v>22</v>
      </c>
      <c r="H140" s="4" t="s">
        <v>21</v>
      </c>
      <c r="I140" s="4" t="s">
        <v>20</v>
      </c>
      <c r="J140" s="4" t="s">
        <v>19</v>
      </c>
      <c r="K140" s="4"/>
      <c r="L140" s="4"/>
      <c r="M140" s="4"/>
      <c r="N140" s="4"/>
      <c r="O140" s="4"/>
    </row>
    <row r="141" spans="1:15">
      <c r="A141" s="4" t="s">
        <v>93</v>
      </c>
      <c r="B141" s="4">
        <v>1</v>
      </c>
      <c r="C141" s="4">
        <v>0.3548</v>
      </c>
      <c r="D141" s="4">
        <v>-0.2</v>
      </c>
      <c r="E141" s="4" t="s">
        <v>107</v>
      </c>
      <c r="F141" s="4" t="s">
        <v>26</v>
      </c>
      <c r="G141" s="4" t="s">
        <v>24</v>
      </c>
      <c r="H141" s="4" t="s">
        <v>25</v>
      </c>
      <c r="I141" s="4" t="s">
        <v>17</v>
      </c>
      <c r="J141" s="4" t="s">
        <v>18</v>
      </c>
      <c r="K141" s="4"/>
      <c r="L141" s="4"/>
      <c r="M141" s="4"/>
      <c r="N141" s="4"/>
      <c r="O141" s="4"/>
    </row>
    <row r="142" spans="1:15">
      <c r="A142" s="4" t="s">
        <v>93</v>
      </c>
      <c r="B142" s="4">
        <v>1</v>
      </c>
      <c r="C142" s="4">
        <v>0.3548</v>
      </c>
      <c r="D142" s="4">
        <v>-0.3</v>
      </c>
      <c r="E142" s="4" t="s">
        <v>107</v>
      </c>
      <c r="F142" s="4" t="s">
        <v>26</v>
      </c>
      <c r="G142" s="4" t="s">
        <v>19</v>
      </c>
      <c r="H142" s="4" t="s">
        <v>24</v>
      </c>
      <c r="I142" s="4" t="s">
        <v>21</v>
      </c>
      <c r="J142" s="4" t="s">
        <v>18</v>
      </c>
      <c r="K142" s="4"/>
      <c r="L142" s="4"/>
      <c r="M142" s="4"/>
      <c r="N142" s="4"/>
      <c r="O142" s="4"/>
    </row>
    <row r="143" spans="1:15">
      <c r="A143" s="4" t="s">
        <v>94</v>
      </c>
      <c r="B143" s="4">
        <v>1</v>
      </c>
      <c r="C143" s="4">
        <v>0.17780000000000001</v>
      </c>
      <c r="D143" s="4">
        <v>1.7</v>
      </c>
      <c r="E143" s="4" t="s">
        <v>107</v>
      </c>
      <c r="F143" s="4" t="s">
        <v>25</v>
      </c>
      <c r="G143" s="4" t="s">
        <v>17</v>
      </c>
      <c r="H143" s="4" t="s">
        <v>23</v>
      </c>
      <c r="I143" s="4" t="s">
        <v>22</v>
      </c>
      <c r="J143" s="4" t="s">
        <v>20</v>
      </c>
      <c r="K143" s="4" t="s">
        <v>25</v>
      </c>
      <c r="L143" s="4" t="s">
        <v>17</v>
      </c>
      <c r="M143" s="4" t="s">
        <v>23</v>
      </c>
      <c r="N143" s="4" t="s">
        <v>22</v>
      </c>
      <c r="O143" s="4" t="s">
        <v>20</v>
      </c>
    </row>
    <row r="144" spans="1:15">
      <c r="A144" s="4" t="s">
        <v>94</v>
      </c>
      <c r="B144" s="4">
        <v>1</v>
      </c>
      <c r="C144" s="4">
        <v>0.17780000000000001</v>
      </c>
      <c r="D144" s="4">
        <v>1.6</v>
      </c>
      <c r="E144" s="4" t="s">
        <v>107</v>
      </c>
      <c r="F144" s="4" t="s">
        <v>18</v>
      </c>
      <c r="G144" s="4" t="s">
        <v>20</v>
      </c>
      <c r="H144" s="4" t="s">
        <v>19</v>
      </c>
      <c r="I144" s="4" t="s">
        <v>25</v>
      </c>
      <c r="J144" s="4" t="s">
        <v>22</v>
      </c>
      <c r="K144" s="4" t="s">
        <v>18</v>
      </c>
      <c r="L144" s="4" t="s">
        <v>20</v>
      </c>
      <c r="M144" s="4" t="s">
        <v>19</v>
      </c>
      <c r="N144" s="4" t="s">
        <v>25</v>
      </c>
      <c r="O144" s="4" t="s">
        <v>22</v>
      </c>
    </row>
    <row r="145" spans="1:15">
      <c r="A145" s="4" t="s">
        <v>94</v>
      </c>
      <c r="B145" s="4">
        <v>1</v>
      </c>
      <c r="C145" s="4">
        <v>0.17780000000000001</v>
      </c>
      <c r="D145" s="4">
        <v>1.5</v>
      </c>
      <c r="E145" s="4" t="s">
        <v>107</v>
      </c>
      <c r="F145" s="4" t="s">
        <v>19</v>
      </c>
      <c r="G145" s="4" t="s">
        <v>20</v>
      </c>
      <c r="H145" s="4" t="s">
        <v>24</v>
      </c>
      <c r="I145" s="4" t="s">
        <v>22</v>
      </c>
      <c r="J145" s="4" t="s">
        <v>18</v>
      </c>
      <c r="K145" s="4" t="s">
        <v>19</v>
      </c>
      <c r="L145" s="4" t="s">
        <v>20</v>
      </c>
      <c r="M145" s="4" t="s">
        <v>24</v>
      </c>
      <c r="N145" s="4" t="s">
        <v>22</v>
      </c>
      <c r="O145" s="4" t="s">
        <v>18</v>
      </c>
    </row>
    <row r="146" spans="1:15">
      <c r="A146" s="4" t="s">
        <v>94</v>
      </c>
      <c r="B146" s="4">
        <v>1</v>
      </c>
      <c r="C146" s="4">
        <v>0.17780000000000001</v>
      </c>
      <c r="D146" s="4">
        <v>1.4</v>
      </c>
      <c r="E146" s="4" t="s">
        <v>107</v>
      </c>
      <c r="F146" s="4" t="s">
        <v>21</v>
      </c>
      <c r="G146" s="4" t="s">
        <v>23</v>
      </c>
      <c r="H146" s="4" t="s">
        <v>17</v>
      </c>
      <c r="I146" s="4" t="s">
        <v>18</v>
      </c>
      <c r="J146" s="4" t="s">
        <v>24</v>
      </c>
      <c r="K146" s="4" t="s">
        <v>21</v>
      </c>
      <c r="L146" s="4" t="s">
        <v>23</v>
      </c>
      <c r="M146" s="4" t="s">
        <v>17</v>
      </c>
      <c r="N146" s="4" t="s">
        <v>18</v>
      </c>
      <c r="O146" s="4" t="s">
        <v>24</v>
      </c>
    </row>
    <row r="147" spans="1:15">
      <c r="A147" s="4" t="s">
        <v>94</v>
      </c>
      <c r="B147" s="4">
        <v>1</v>
      </c>
      <c r="C147" s="4">
        <v>0.17780000000000001</v>
      </c>
      <c r="D147" s="4">
        <v>1.3</v>
      </c>
      <c r="E147" s="4" t="s">
        <v>107</v>
      </c>
      <c r="F147" s="4" t="s">
        <v>23</v>
      </c>
      <c r="G147" s="4" t="s">
        <v>24</v>
      </c>
      <c r="H147" s="4" t="s">
        <v>26</v>
      </c>
      <c r="I147" s="4" t="s">
        <v>19</v>
      </c>
      <c r="J147" s="4" t="s">
        <v>17</v>
      </c>
      <c r="K147" s="4" t="s">
        <v>23</v>
      </c>
      <c r="L147" s="4" t="s">
        <v>24</v>
      </c>
      <c r="M147" s="4" t="s">
        <v>26</v>
      </c>
      <c r="N147" s="4" t="s">
        <v>19</v>
      </c>
      <c r="O147" s="4" t="s">
        <v>17</v>
      </c>
    </row>
    <row r="148" spans="1:15">
      <c r="A148" s="4" t="s">
        <v>94</v>
      </c>
      <c r="B148" s="4">
        <v>1</v>
      </c>
      <c r="C148" s="4">
        <v>0.17780000000000001</v>
      </c>
      <c r="D148" s="4">
        <v>1.2</v>
      </c>
      <c r="E148" s="4" t="s">
        <v>107</v>
      </c>
      <c r="F148" s="4" t="s">
        <v>17</v>
      </c>
      <c r="G148" s="4" t="s">
        <v>20</v>
      </c>
      <c r="H148" s="4" t="s">
        <v>26</v>
      </c>
      <c r="I148" s="4" t="s">
        <v>22</v>
      </c>
      <c r="J148" s="4" t="s">
        <v>18</v>
      </c>
      <c r="K148" s="4" t="s">
        <v>17</v>
      </c>
      <c r="L148" s="4" t="s">
        <v>20</v>
      </c>
      <c r="M148" s="4" t="s">
        <v>26</v>
      </c>
      <c r="N148" s="4" t="s">
        <v>22</v>
      </c>
      <c r="O148" s="4" t="s">
        <v>18</v>
      </c>
    </row>
    <row r="149" spans="1:15">
      <c r="A149" s="4" t="s">
        <v>94</v>
      </c>
      <c r="B149" s="4">
        <v>1</v>
      </c>
      <c r="C149" s="4">
        <v>0.17780000000000001</v>
      </c>
      <c r="D149" s="4">
        <v>1.1000000000000001</v>
      </c>
      <c r="E149" s="4" t="s">
        <v>107</v>
      </c>
      <c r="F149" s="4" t="s">
        <v>19</v>
      </c>
      <c r="G149" s="4" t="s">
        <v>26</v>
      </c>
      <c r="H149" s="4" t="s">
        <v>21</v>
      </c>
      <c r="I149" s="4" t="s">
        <v>18</v>
      </c>
      <c r="J149" s="4" t="s">
        <v>17</v>
      </c>
      <c r="K149" s="4" t="s">
        <v>19</v>
      </c>
      <c r="L149" s="4" t="s">
        <v>26</v>
      </c>
      <c r="M149" s="4" t="s">
        <v>21</v>
      </c>
      <c r="N149" s="4" t="s">
        <v>18</v>
      </c>
      <c r="O149" s="4" t="s">
        <v>17</v>
      </c>
    </row>
    <row r="150" spans="1:15">
      <c r="A150" s="4" t="s">
        <v>94</v>
      </c>
      <c r="B150" s="4">
        <v>1</v>
      </c>
      <c r="C150" s="4">
        <v>0.17780000000000001</v>
      </c>
      <c r="D150" s="4">
        <v>1</v>
      </c>
      <c r="E150" s="4" t="s">
        <v>107</v>
      </c>
      <c r="F150" s="4" t="s">
        <v>23</v>
      </c>
      <c r="G150" s="4" t="s">
        <v>19</v>
      </c>
      <c r="H150" s="4" t="s">
        <v>21</v>
      </c>
      <c r="I150" s="4" t="s">
        <v>26</v>
      </c>
      <c r="J150" s="4" t="s">
        <v>20</v>
      </c>
      <c r="K150" s="4" t="s">
        <v>23</v>
      </c>
      <c r="L150" s="4" t="s">
        <v>19</v>
      </c>
      <c r="M150" s="4" t="s">
        <v>21</v>
      </c>
      <c r="N150" s="4" t="s">
        <v>26</v>
      </c>
      <c r="O150" s="4" t="s">
        <v>20</v>
      </c>
    </row>
    <row r="151" spans="1:15">
      <c r="A151" s="4" t="s">
        <v>94</v>
      </c>
      <c r="B151" s="4">
        <v>1</v>
      </c>
      <c r="C151" s="4">
        <v>0.17780000000000001</v>
      </c>
      <c r="D151" s="4">
        <v>0.9</v>
      </c>
      <c r="E151" s="4" t="s">
        <v>107</v>
      </c>
      <c r="F151" s="4" t="s">
        <v>21</v>
      </c>
      <c r="G151" s="4" t="s">
        <v>22</v>
      </c>
      <c r="H151" s="4" t="s">
        <v>26</v>
      </c>
      <c r="I151" s="4" t="s">
        <v>20</v>
      </c>
      <c r="J151" s="4" t="s">
        <v>23</v>
      </c>
      <c r="K151" s="4" t="s">
        <v>21</v>
      </c>
      <c r="L151" s="4" t="s">
        <v>22</v>
      </c>
      <c r="M151" s="4" t="s">
        <v>26</v>
      </c>
      <c r="N151" s="4" t="s">
        <v>20</v>
      </c>
      <c r="O151" s="4" t="s">
        <v>23</v>
      </c>
    </row>
    <row r="152" spans="1:15">
      <c r="A152" s="4" t="s">
        <v>94</v>
      </c>
      <c r="B152" s="4">
        <v>1</v>
      </c>
      <c r="C152" s="4">
        <v>0.17780000000000001</v>
      </c>
      <c r="D152" s="4">
        <v>0.8</v>
      </c>
      <c r="E152" s="4" t="s">
        <v>107</v>
      </c>
      <c r="F152" s="4" t="s">
        <v>20</v>
      </c>
      <c r="G152" s="4" t="s">
        <v>22</v>
      </c>
      <c r="H152" s="4" t="s">
        <v>19</v>
      </c>
      <c r="I152" s="4" t="s">
        <v>18</v>
      </c>
      <c r="J152" s="4" t="s">
        <v>21</v>
      </c>
      <c r="K152" s="4" t="s">
        <v>20</v>
      </c>
      <c r="L152" s="4" t="s">
        <v>22</v>
      </c>
      <c r="M152" s="4" t="s">
        <v>19</v>
      </c>
      <c r="N152" s="4" t="s">
        <v>18</v>
      </c>
      <c r="O152" s="4" t="s">
        <v>21</v>
      </c>
    </row>
    <row r="153" spans="1:15">
      <c r="A153" s="4" t="s">
        <v>94</v>
      </c>
      <c r="B153" s="4">
        <v>1</v>
      </c>
      <c r="C153" s="4">
        <v>0.17780000000000001</v>
      </c>
      <c r="D153" s="4">
        <v>0.7</v>
      </c>
      <c r="E153" s="4" t="s">
        <v>107</v>
      </c>
      <c r="F153" s="4" t="s">
        <v>24</v>
      </c>
      <c r="G153" s="4" t="s">
        <v>21</v>
      </c>
      <c r="H153" s="4" t="s">
        <v>19</v>
      </c>
      <c r="I153" s="4" t="s">
        <v>25</v>
      </c>
      <c r="J153" s="4" t="s">
        <v>26</v>
      </c>
      <c r="K153" s="4" t="s">
        <v>24</v>
      </c>
      <c r="L153" s="4" t="s">
        <v>21</v>
      </c>
      <c r="M153" s="4" t="s">
        <v>19</v>
      </c>
      <c r="N153" s="4" t="s">
        <v>25</v>
      </c>
      <c r="O153" s="4" t="s">
        <v>26</v>
      </c>
    </row>
    <row r="154" spans="1:15">
      <c r="A154" s="4" t="s">
        <v>94</v>
      </c>
      <c r="B154" s="4">
        <v>1</v>
      </c>
      <c r="C154" s="4">
        <v>0.17780000000000001</v>
      </c>
      <c r="D154" s="4">
        <v>0.6</v>
      </c>
      <c r="E154" s="4" t="s">
        <v>107</v>
      </c>
      <c r="F154" s="4" t="s">
        <v>17</v>
      </c>
      <c r="G154" s="4" t="s">
        <v>24</v>
      </c>
      <c r="H154" s="4" t="s">
        <v>21</v>
      </c>
      <c r="I154" s="4" t="s">
        <v>26</v>
      </c>
      <c r="J154" s="4" t="s">
        <v>25</v>
      </c>
      <c r="K154" s="4" t="s">
        <v>17</v>
      </c>
      <c r="L154" s="4" t="s">
        <v>24</v>
      </c>
      <c r="M154" s="4" t="s">
        <v>21</v>
      </c>
      <c r="N154" s="4" t="s">
        <v>26</v>
      </c>
      <c r="O154" s="4" t="s">
        <v>25</v>
      </c>
    </row>
    <row r="155" spans="1:15">
      <c r="A155" s="4" t="s">
        <v>94</v>
      </c>
      <c r="B155" s="4">
        <v>1</v>
      </c>
      <c r="C155" s="4">
        <v>0.17780000000000001</v>
      </c>
      <c r="D155" s="4">
        <v>0.5</v>
      </c>
      <c r="E155" s="4" t="s">
        <v>107</v>
      </c>
      <c r="F155" s="4" t="s">
        <v>23</v>
      </c>
      <c r="G155" s="4" t="s">
        <v>21</v>
      </c>
      <c r="H155" s="4" t="s">
        <v>22</v>
      </c>
      <c r="I155" s="4" t="s">
        <v>25</v>
      </c>
      <c r="J155" s="4" t="s">
        <v>17</v>
      </c>
      <c r="K155" s="4" t="s">
        <v>23</v>
      </c>
      <c r="L155" s="4" t="s">
        <v>21</v>
      </c>
      <c r="M155" s="4" t="s">
        <v>22</v>
      </c>
      <c r="N155" s="4" t="s">
        <v>25</v>
      </c>
      <c r="O155" s="4" t="s">
        <v>17</v>
      </c>
    </row>
    <row r="156" spans="1:15">
      <c r="A156" s="4" t="s">
        <v>94</v>
      </c>
      <c r="B156" s="4">
        <v>1</v>
      </c>
      <c r="C156" s="4">
        <v>0.17780000000000001</v>
      </c>
      <c r="D156" s="4">
        <v>0.4</v>
      </c>
      <c r="E156" s="4" t="s">
        <v>107</v>
      </c>
      <c r="F156" s="4" t="s">
        <v>23</v>
      </c>
      <c r="G156" s="4" t="s">
        <v>18</v>
      </c>
      <c r="H156" s="4" t="s">
        <v>19</v>
      </c>
      <c r="I156" s="4" t="s">
        <v>24</v>
      </c>
      <c r="J156" s="4" t="s">
        <v>22</v>
      </c>
      <c r="K156" s="4" t="s">
        <v>23</v>
      </c>
      <c r="L156" s="4" t="s">
        <v>18</v>
      </c>
      <c r="M156" s="4" t="s">
        <v>19</v>
      </c>
      <c r="N156" s="4" t="s">
        <v>24</v>
      </c>
      <c r="O156" s="4" t="s">
        <v>22</v>
      </c>
    </row>
    <row r="157" spans="1:15">
      <c r="A157" s="4" t="s">
        <v>94</v>
      </c>
      <c r="B157" s="4">
        <v>1</v>
      </c>
      <c r="C157" s="4">
        <v>0.17780000000000001</v>
      </c>
      <c r="D157" s="4">
        <v>0.3</v>
      </c>
      <c r="E157" s="4" t="s">
        <v>107</v>
      </c>
      <c r="F157" s="4" t="s">
        <v>21</v>
      </c>
      <c r="G157" s="4" t="s">
        <v>23</v>
      </c>
      <c r="H157" s="4" t="s">
        <v>26</v>
      </c>
      <c r="I157" s="4" t="s">
        <v>19</v>
      </c>
      <c r="J157" s="4" t="s">
        <v>17</v>
      </c>
      <c r="K157" s="4" t="s">
        <v>21</v>
      </c>
      <c r="L157" s="4" t="s">
        <v>23</v>
      </c>
      <c r="M157" s="4" t="s">
        <v>26</v>
      </c>
      <c r="N157" s="4" t="s">
        <v>19</v>
      </c>
      <c r="O157" s="4" t="s">
        <v>17</v>
      </c>
    </row>
    <row r="158" spans="1:15">
      <c r="A158" s="4" t="s">
        <v>94</v>
      </c>
      <c r="B158" s="4">
        <v>1</v>
      </c>
      <c r="C158" s="4">
        <v>0.17780000000000001</v>
      </c>
      <c r="D158" s="4">
        <v>0.2</v>
      </c>
      <c r="E158" s="4" t="s">
        <v>107</v>
      </c>
      <c r="F158" s="4" t="s">
        <v>19</v>
      </c>
      <c r="G158" s="4" t="s">
        <v>17</v>
      </c>
      <c r="H158" s="4" t="s">
        <v>23</v>
      </c>
      <c r="I158" s="4" t="s">
        <v>22</v>
      </c>
      <c r="J158" s="4" t="s">
        <v>24</v>
      </c>
      <c r="K158" s="4" t="s">
        <v>19</v>
      </c>
      <c r="L158" s="4" t="s">
        <v>17</v>
      </c>
      <c r="M158" s="4" t="s">
        <v>23</v>
      </c>
      <c r="N158" s="4" t="s">
        <v>22</v>
      </c>
      <c r="O158" s="4" t="s">
        <v>24</v>
      </c>
    </row>
    <row r="159" spans="1:15">
      <c r="A159" s="4" t="s">
        <v>94</v>
      </c>
      <c r="B159" s="4">
        <v>1</v>
      </c>
      <c r="C159" s="4">
        <v>0.17780000000000001</v>
      </c>
      <c r="D159" s="4">
        <v>0.1</v>
      </c>
      <c r="E159" s="4" t="s">
        <v>107</v>
      </c>
      <c r="F159" s="4" t="s">
        <v>23</v>
      </c>
      <c r="G159" s="4" t="s">
        <v>24</v>
      </c>
      <c r="H159" s="4" t="s">
        <v>22</v>
      </c>
      <c r="I159" s="4" t="s">
        <v>20</v>
      </c>
      <c r="J159" s="4" t="s">
        <v>19</v>
      </c>
      <c r="K159" s="4" t="s">
        <v>23</v>
      </c>
      <c r="L159" s="4" t="s">
        <v>24</v>
      </c>
      <c r="M159" s="4" t="s">
        <v>22</v>
      </c>
      <c r="N159" s="4" t="s">
        <v>20</v>
      </c>
      <c r="O159" s="4" t="s">
        <v>19</v>
      </c>
    </row>
    <row r="160" spans="1:15">
      <c r="A160" s="4" t="s">
        <v>94</v>
      </c>
      <c r="B160" s="4">
        <v>1</v>
      </c>
      <c r="C160" s="4">
        <v>0.17780000000000001</v>
      </c>
      <c r="D160" s="4">
        <v>0</v>
      </c>
      <c r="E160" s="4" t="s">
        <v>107</v>
      </c>
      <c r="F160" s="4" t="s">
        <v>23</v>
      </c>
      <c r="G160" s="4" t="s">
        <v>22</v>
      </c>
      <c r="H160" s="4" t="s">
        <v>26</v>
      </c>
      <c r="I160" s="4" t="s">
        <v>17</v>
      </c>
      <c r="J160" s="4" t="s">
        <v>24</v>
      </c>
      <c r="K160" s="4" t="s">
        <v>23</v>
      </c>
      <c r="L160" s="4" t="s">
        <v>22</v>
      </c>
      <c r="M160" s="4" t="s">
        <v>26</v>
      </c>
      <c r="N160" s="4" t="s">
        <v>17</v>
      </c>
      <c r="O160" s="4"/>
    </row>
    <row r="161" spans="1:15">
      <c r="A161" s="4" t="s">
        <v>94</v>
      </c>
      <c r="B161" s="4">
        <v>1</v>
      </c>
      <c r="C161" s="4">
        <v>0.17780000000000001</v>
      </c>
      <c r="D161" s="4">
        <v>-0.1</v>
      </c>
      <c r="E161" s="4" t="s">
        <v>107</v>
      </c>
      <c r="F161" s="4" t="s">
        <v>22</v>
      </c>
      <c r="G161" s="4" t="s">
        <v>18</v>
      </c>
      <c r="H161" s="4" t="s">
        <v>21</v>
      </c>
      <c r="I161" s="4" t="s">
        <v>25</v>
      </c>
      <c r="J161" s="4" t="s">
        <v>19</v>
      </c>
      <c r="K161" s="4" t="s">
        <v>22</v>
      </c>
      <c r="L161" s="4"/>
      <c r="M161" s="4"/>
      <c r="N161" s="4"/>
      <c r="O161" s="4"/>
    </row>
    <row r="162" spans="1:15">
      <c r="A162" s="4" t="s">
        <v>94</v>
      </c>
      <c r="B162" s="4">
        <v>1</v>
      </c>
      <c r="C162" s="4">
        <v>0.17780000000000001</v>
      </c>
      <c r="D162" s="4">
        <v>-0.2</v>
      </c>
      <c r="E162" s="4" t="s">
        <v>107</v>
      </c>
      <c r="F162" s="4" t="s">
        <v>24</v>
      </c>
      <c r="G162" s="4" t="s">
        <v>22</v>
      </c>
      <c r="H162" s="4" t="s">
        <v>17</v>
      </c>
      <c r="I162" s="4" t="s">
        <v>18</v>
      </c>
      <c r="J162" s="4" t="s">
        <v>21</v>
      </c>
      <c r="K162" s="4"/>
      <c r="L162" s="4"/>
      <c r="M162" s="4"/>
      <c r="N162" s="4"/>
      <c r="O162" s="4"/>
    </row>
    <row r="163" spans="1:15">
      <c r="A163" s="4" t="s">
        <v>94</v>
      </c>
      <c r="B163" s="4">
        <v>1</v>
      </c>
      <c r="C163" s="4">
        <v>0.17780000000000001</v>
      </c>
      <c r="D163" s="4">
        <v>-0.3</v>
      </c>
      <c r="E163" s="4" t="s">
        <v>107</v>
      </c>
      <c r="F163" s="4" t="s">
        <v>24</v>
      </c>
      <c r="G163" s="4" t="s">
        <v>17</v>
      </c>
      <c r="H163" s="4" t="s">
        <v>25</v>
      </c>
      <c r="I163" s="4" t="s">
        <v>26</v>
      </c>
      <c r="J163" s="4" t="s">
        <v>18</v>
      </c>
      <c r="K163" s="4"/>
      <c r="L163" s="4"/>
      <c r="M163" s="4"/>
      <c r="N163" s="4"/>
      <c r="O163" s="4"/>
    </row>
    <row r="164" spans="1:15">
      <c r="A164" s="4" t="s">
        <v>95</v>
      </c>
      <c r="B164" s="4">
        <v>1</v>
      </c>
      <c r="C164" s="4">
        <v>8.9099999999999999E-2</v>
      </c>
      <c r="D164" s="4">
        <v>1.7</v>
      </c>
      <c r="E164" s="4" t="s">
        <v>107</v>
      </c>
      <c r="F164" s="4" t="s">
        <v>17</v>
      </c>
      <c r="G164" s="4" t="s">
        <v>24</v>
      </c>
      <c r="H164" s="4" t="s">
        <v>26</v>
      </c>
      <c r="I164" s="4" t="s">
        <v>20</v>
      </c>
      <c r="J164" s="4" t="s">
        <v>18</v>
      </c>
      <c r="K164" s="4" t="s">
        <v>17</v>
      </c>
      <c r="L164" s="4" t="s">
        <v>24</v>
      </c>
      <c r="M164" s="4" t="s">
        <v>26</v>
      </c>
      <c r="N164" s="4" t="s">
        <v>20</v>
      </c>
      <c r="O164" s="4" t="s">
        <v>18</v>
      </c>
    </row>
    <row r="165" spans="1:15">
      <c r="A165" s="4" t="s">
        <v>95</v>
      </c>
      <c r="B165" s="4">
        <v>1</v>
      </c>
      <c r="C165" s="4">
        <v>8.9099999999999999E-2</v>
      </c>
      <c r="D165" s="4">
        <v>1.6</v>
      </c>
      <c r="E165" s="4" t="s">
        <v>107</v>
      </c>
      <c r="F165" s="4" t="s">
        <v>23</v>
      </c>
      <c r="G165" s="4" t="s">
        <v>26</v>
      </c>
      <c r="H165" s="4" t="s">
        <v>18</v>
      </c>
      <c r="I165" s="4" t="s">
        <v>22</v>
      </c>
      <c r="J165" s="4" t="s">
        <v>21</v>
      </c>
      <c r="K165" s="4" t="s">
        <v>23</v>
      </c>
      <c r="L165" s="4" t="s">
        <v>26</v>
      </c>
      <c r="M165" s="4" t="s">
        <v>18</v>
      </c>
      <c r="N165" s="4" t="s">
        <v>22</v>
      </c>
      <c r="O165" s="4" t="s">
        <v>21</v>
      </c>
    </row>
    <row r="166" spans="1:15">
      <c r="A166" s="4" t="s">
        <v>95</v>
      </c>
      <c r="B166" s="4">
        <v>1</v>
      </c>
      <c r="C166" s="4">
        <v>8.9099999999999999E-2</v>
      </c>
      <c r="D166" s="4">
        <v>1.5</v>
      </c>
      <c r="E166" s="4" t="s">
        <v>107</v>
      </c>
      <c r="F166" s="4" t="s">
        <v>25</v>
      </c>
      <c r="G166" s="4" t="s">
        <v>19</v>
      </c>
      <c r="H166" s="4" t="s">
        <v>23</v>
      </c>
      <c r="I166" s="4" t="s">
        <v>21</v>
      </c>
      <c r="J166" s="4" t="s">
        <v>26</v>
      </c>
      <c r="K166" s="4" t="s">
        <v>25</v>
      </c>
      <c r="L166" s="4" t="s">
        <v>19</v>
      </c>
      <c r="M166" s="4" t="s">
        <v>23</v>
      </c>
      <c r="N166" s="4" t="s">
        <v>21</v>
      </c>
      <c r="O166" s="4" t="s">
        <v>26</v>
      </c>
    </row>
    <row r="167" spans="1:15">
      <c r="A167" s="4" t="s">
        <v>95</v>
      </c>
      <c r="B167" s="4">
        <v>1</v>
      </c>
      <c r="C167" s="4">
        <v>8.9099999999999999E-2</v>
      </c>
      <c r="D167" s="4">
        <v>1.4</v>
      </c>
      <c r="E167" s="4" t="s">
        <v>107</v>
      </c>
      <c r="F167" s="4" t="s">
        <v>22</v>
      </c>
      <c r="G167" s="4" t="s">
        <v>18</v>
      </c>
      <c r="H167" s="4" t="s">
        <v>24</v>
      </c>
      <c r="I167" s="4" t="s">
        <v>21</v>
      </c>
      <c r="J167" s="4" t="s">
        <v>19</v>
      </c>
      <c r="K167" s="4" t="s">
        <v>22</v>
      </c>
      <c r="L167" s="4" t="s">
        <v>18</v>
      </c>
      <c r="M167" s="4" t="s">
        <v>24</v>
      </c>
      <c r="N167" s="4" t="s">
        <v>21</v>
      </c>
      <c r="O167" s="4" t="s">
        <v>19</v>
      </c>
    </row>
    <row r="168" spans="1:15">
      <c r="A168" s="4" t="s">
        <v>95</v>
      </c>
      <c r="B168" s="4">
        <v>1</v>
      </c>
      <c r="C168" s="4">
        <v>8.9099999999999999E-2</v>
      </c>
      <c r="D168" s="4">
        <v>1.3</v>
      </c>
      <c r="E168" s="4" t="s">
        <v>107</v>
      </c>
      <c r="F168" s="4" t="s">
        <v>20</v>
      </c>
      <c r="G168" s="4" t="s">
        <v>21</v>
      </c>
      <c r="H168" s="4" t="s">
        <v>22</v>
      </c>
      <c r="I168" s="4" t="s">
        <v>24</v>
      </c>
      <c r="J168" s="4" t="s">
        <v>23</v>
      </c>
      <c r="K168" s="4" t="s">
        <v>20</v>
      </c>
      <c r="L168" s="4" t="s">
        <v>21</v>
      </c>
      <c r="M168" s="4" t="s">
        <v>22</v>
      </c>
      <c r="N168" s="4" t="s">
        <v>24</v>
      </c>
      <c r="O168" s="4" t="s">
        <v>23</v>
      </c>
    </row>
    <row r="169" spans="1:15">
      <c r="A169" s="4" t="s">
        <v>95</v>
      </c>
      <c r="B169" s="4">
        <v>1</v>
      </c>
      <c r="C169" s="4">
        <v>8.9099999999999999E-2</v>
      </c>
      <c r="D169" s="4">
        <v>1.2</v>
      </c>
      <c r="E169" s="4" t="s">
        <v>107</v>
      </c>
      <c r="F169" s="4" t="s">
        <v>23</v>
      </c>
      <c r="G169" s="4" t="s">
        <v>25</v>
      </c>
      <c r="H169" s="4" t="s">
        <v>18</v>
      </c>
      <c r="I169" s="4" t="s">
        <v>19</v>
      </c>
      <c r="J169" s="4" t="s">
        <v>17</v>
      </c>
      <c r="K169" s="4" t="s">
        <v>23</v>
      </c>
      <c r="L169" s="4" t="s">
        <v>25</v>
      </c>
      <c r="M169" s="4" t="s">
        <v>18</v>
      </c>
      <c r="N169" s="4" t="s">
        <v>19</v>
      </c>
      <c r="O169" s="4" t="s">
        <v>17</v>
      </c>
    </row>
    <row r="170" spans="1:15">
      <c r="A170" s="4" t="s">
        <v>95</v>
      </c>
      <c r="B170" s="4">
        <v>1</v>
      </c>
      <c r="C170" s="4">
        <v>8.9099999999999999E-2</v>
      </c>
      <c r="D170" s="4">
        <v>1.1000000000000001</v>
      </c>
      <c r="E170" s="4" t="s">
        <v>107</v>
      </c>
      <c r="F170" s="4" t="s">
        <v>20</v>
      </c>
      <c r="G170" s="4" t="s">
        <v>17</v>
      </c>
      <c r="H170" s="4" t="s">
        <v>19</v>
      </c>
      <c r="I170" s="4" t="s">
        <v>21</v>
      </c>
      <c r="J170" s="4" t="s">
        <v>18</v>
      </c>
      <c r="K170" s="4" t="s">
        <v>20</v>
      </c>
      <c r="L170" s="4" t="s">
        <v>17</v>
      </c>
      <c r="M170" s="4" t="s">
        <v>19</v>
      </c>
      <c r="N170" s="4" t="s">
        <v>21</v>
      </c>
      <c r="O170" s="4" t="s">
        <v>18</v>
      </c>
    </row>
    <row r="171" spans="1:15">
      <c r="A171" s="4" t="s">
        <v>95</v>
      </c>
      <c r="B171" s="4">
        <v>1</v>
      </c>
      <c r="C171" s="4">
        <v>8.9099999999999999E-2</v>
      </c>
      <c r="D171" s="4">
        <v>1</v>
      </c>
      <c r="E171" s="4" t="s">
        <v>107</v>
      </c>
      <c r="F171" s="4" t="s">
        <v>25</v>
      </c>
      <c r="G171" s="4" t="s">
        <v>18</v>
      </c>
      <c r="H171" s="4" t="s">
        <v>23</v>
      </c>
      <c r="I171" s="4" t="s">
        <v>26</v>
      </c>
      <c r="J171" s="4" t="s">
        <v>20</v>
      </c>
      <c r="K171" s="4" t="s">
        <v>25</v>
      </c>
      <c r="L171" s="4" t="s">
        <v>18</v>
      </c>
      <c r="M171" s="4" t="s">
        <v>23</v>
      </c>
      <c r="N171" s="4" t="s">
        <v>26</v>
      </c>
      <c r="O171" s="4" t="s">
        <v>20</v>
      </c>
    </row>
    <row r="172" spans="1:15">
      <c r="A172" s="4" t="s">
        <v>95</v>
      </c>
      <c r="B172" s="4">
        <v>1</v>
      </c>
      <c r="C172" s="4">
        <v>8.9099999999999999E-2</v>
      </c>
      <c r="D172" s="4">
        <v>0.9</v>
      </c>
      <c r="E172" s="4" t="s">
        <v>107</v>
      </c>
      <c r="F172" s="4" t="s">
        <v>25</v>
      </c>
      <c r="G172" s="4" t="s">
        <v>19</v>
      </c>
      <c r="H172" s="4" t="s">
        <v>26</v>
      </c>
      <c r="I172" s="4" t="s">
        <v>23</v>
      </c>
      <c r="J172" s="4" t="s">
        <v>22</v>
      </c>
      <c r="K172" s="4" t="s">
        <v>25</v>
      </c>
      <c r="L172" s="4" t="s">
        <v>19</v>
      </c>
      <c r="M172" s="4" t="s">
        <v>26</v>
      </c>
      <c r="N172" s="4" t="s">
        <v>23</v>
      </c>
      <c r="O172" s="4" t="s">
        <v>22</v>
      </c>
    </row>
    <row r="173" spans="1:15">
      <c r="A173" s="4" t="s">
        <v>95</v>
      </c>
      <c r="B173" s="4">
        <v>1</v>
      </c>
      <c r="C173" s="4">
        <v>8.9099999999999999E-2</v>
      </c>
      <c r="D173" s="4">
        <v>0.8</v>
      </c>
      <c r="E173" s="4" t="s">
        <v>107</v>
      </c>
      <c r="F173" s="4" t="s">
        <v>22</v>
      </c>
      <c r="G173" s="4" t="s">
        <v>25</v>
      </c>
      <c r="H173" s="4" t="s">
        <v>21</v>
      </c>
      <c r="I173" s="4" t="s">
        <v>20</v>
      </c>
      <c r="J173" s="4" t="s">
        <v>24</v>
      </c>
      <c r="K173" s="4" t="s">
        <v>22</v>
      </c>
      <c r="L173" s="4" t="s">
        <v>25</v>
      </c>
      <c r="M173" s="4" t="s">
        <v>21</v>
      </c>
      <c r="N173" s="4" t="s">
        <v>20</v>
      </c>
      <c r="O173" s="4" t="s">
        <v>24</v>
      </c>
    </row>
    <row r="174" spans="1:15">
      <c r="A174" s="4" t="s">
        <v>95</v>
      </c>
      <c r="B174" s="4">
        <v>1</v>
      </c>
      <c r="C174" s="4">
        <v>8.9099999999999999E-2</v>
      </c>
      <c r="D174" s="4">
        <v>0.7</v>
      </c>
      <c r="E174" s="4" t="s">
        <v>107</v>
      </c>
      <c r="F174" s="4" t="s">
        <v>17</v>
      </c>
      <c r="G174" s="4" t="s">
        <v>19</v>
      </c>
      <c r="H174" s="4" t="s">
        <v>23</v>
      </c>
      <c r="I174" s="4" t="s">
        <v>20</v>
      </c>
      <c r="J174" s="4" t="s">
        <v>26</v>
      </c>
      <c r="K174" s="4" t="s">
        <v>17</v>
      </c>
      <c r="L174" s="4" t="s">
        <v>19</v>
      </c>
      <c r="M174" s="4" t="s">
        <v>23</v>
      </c>
      <c r="N174" s="4" t="s">
        <v>20</v>
      </c>
      <c r="O174" s="4" t="s">
        <v>26</v>
      </c>
    </row>
    <row r="175" spans="1:15">
      <c r="A175" s="4" t="s">
        <v>95</v>
      </c>
      <c r="B175" s="4">
        <v>1</v>
      </c>
      <c r="C175" s="4">
        <v>8.9099999999999999E-2</v>
      </c>
      <c r="D175" s="4">
        <v>0.6</v>
      </c>
      <c r="E175" s="4" t="s">
        <v>107</v>
      </c>
      <c r="F175" s="4" t="s">
        <v>21</v>
      </c>
      <c r="G175" s="4" t="s">
        <v>18</v>
      </c>
      <c r="H175" s="4" t="s">
        <v>19</v>
      </c>
      <c r="I175" s="4" t="s">
        <v>22</v>
      </c>
      <c r="J175" s="4" t="s">
        <v>25</v>
      </c>
      <c r="K175" s="4" t="s">
        <v>21</v>
      </c>
      <c r="L175" s="4" t="s">
        <v>18</v>
      </c>
      <c r="M175" s="4" t="s">
        <v>19</v>
      </c>
      <c r="N175" s="4" t="s">
        <v>22</v>
      </c>
      <c r="O175" s="4" t="s">
        <v>25</v>
      </c>
    </row>
    <row r="176" spans="1:15">
      <c r="A176" s="4" t="s">
        <v>95</v>
      </c>
      <c r="B176" s="4">
        <v>1</v>
      </c>
      <c r="C176" s="4">
        <v>8.9099999999999999E-2</v>
      </c>
      <c r="D176" s="4">
        <v>0.5</v>
      </c>
      <c r="E176" s="4" t="s">
        <v>107</v>
      </c>
      <c r="F176" s="4" t="s">
        <v>26</v>
      </c>
      <c r="G176" s="4" t="s">
        <v>20</v>
      </c>
      <c r="H176" s="4" t="s">
        <v>25</v>
      </c>
      <c r="I176" s="4" t="s">
        <v>24</v>
      </c>
      <c r="J176" s="4" t="s">
        <v>22</v>
      </c>
      <c r="K176" s="4" t="s">
        <v>26</v>
      </c>
      <c r="L176" s="4" t="s">
        <v>20</v>
      </c>
      <c r="M176" s="4" t="s">
        <v>25</v>
      </c>
      <c r="N176" s="4" t="s">
        <v>24</v>
      </c>
      <c r="O176" s="4" t="s">
        <v>22</v>
      </c>
    </row>
    <row r="177" spans="1:15">
      <c r="A177" s="4" t="s">
        <v>95</v>
      </c>
      <c r="B177" s="4">
        <v>1</v>
      </c>
      <c r="C177" s="4">
        <v>8.9099999999999999E-2</v>
      </c>
      <c r="D177" s="4">
        <v>0.4</v>
      </c>
      <c r="E177" s="4" t="s">
        <v>107</v>
      </c>
      <c r="F177" s="4" t="s">
        <v>24</v>
      </c>
      <c r="G177" s="4" t="s">
        <v>19</v>
      </c>
      <c r="H177" s="4" t="s">
        <v>17</v>
      </c>
      <c r="I177" s="4" t="s">
        <v>23</v>
      </c>
      <c r="J177" s="4" t="s">
        <v>25</v>
      </c>
      <c r="K177" s="4" t="s">
        <v>24</v>
      </c>
      <c r="L177" s="4" t="s">
        <v>19</v>
      </c>
      <c r="M177" s="4" t="s">
        <v>17</v>
      </c>
      <c r="N177" s="4" t="s">
        <v>23</v>
      </c>
      <c r="O177" s="4" t="s">
        <v>25</v>
      </c>
    </row>
    <row r="178" spans="1:15">
      <c r="A178" s="4" t="s">
        <v>95</v>
      </c>
      <c r="B178" s="4">
        <v>1</v>
      </c>
      <c r="C178" s="4">
        <v>8.9099999999999999E-2</v>
      </c>
      <c r="D178" s="4">
        <v>0.3</v>
      </c>
      <c r="E178" s="4" t="s">
        <v>107</v>
      </c>
      <c r="F178" s="4" t="s">
        <v>25</v>
      </c>
      <c r="G178" s="4" t="s">
        <v>17</v>
      </c>
      <c r="H178" s="4" t="s">
        <v>21</v>
      </c>
      <c r="I178" s="4" t="s">
        <v>26</v>
      </c>
      <c r="J178" s="4" t="s">
        <v>19</v>
      </c>
      <c r="K178" s="4" t="s">
        <v>25</v>
      </c>
      <c r="L178" s="4" t="s">
        <v>17</v>
      </c>
      <c r="M178" s="4" t="s">
        <v>21</v>
      </c>
      <c r="N178" s="4" t="s">
        <v>26</v>
      </c>
      <c r="O178" s="4" t="s">
        <v>19</v>
      </c>
    </row>
    <row r="179" spans="1:15">
      <c r="A179" s="4" t="s">
        <v>95</v>
      </c>
      <c r="B179" s="4">
        <v>1</v>
      </c>
      <c r="C179" s="4">
        <v>8.9099999999999999E-2</v>
      </c>
      <c r="D179" s="4">
        <v>0.2</v>
      </c>
      <c r="E179" s="4" t="s">
        <v>107</v>
      </c>
      <c r="F179" s="4" t="s">
        <v>26</v>
      </c>
      <c r="G179" s="4" t="s">
        <v>22</v>
      </c>
      <c r="H179" s="4" t="s">
        <v>20</v>
      </c>
      <c r="I179" s="4" t="s">
        <v>25</v>
      </c>
      <c r="J179" s="4" t="s">
        <v>19</v>
      </c>
      <c r="K179" s="4" t="s">
        <v>26</v>
      </c>
      <c r="L179" s="4" t="s">
        <v>22</v>
      </c>
      <c r="M179" s="4" t="s">
        <v>20</v>
      </c>
      <c r="N179" s="4" t="s">
        <v>25</v>
      </c>
      <c r="O179" s="4" t="s">
        <v>19</v>
      </c>
    </row>
    <row r="180" spans="1:15">
      <c r="A180" s="4" t="s">
        <v>95</v>
      </c>
      <c r="B180" s="4">
        <v>1</v>
      </c>
      <c r="C180" s="4">
        <v>8.9099999999999999E-2</v>
      </c>
      <c r="D180" s="4">
        <v>0.1</v>
      </c>
      <c r="E180" s="4" t="s">
        <v>107</v>
      </c>
      <c r="F180" s="4" t="s">
        <v>18</v>
      </c>
      <c r="G180" s="4" t="s">
        <v>19</v>
      </c>
      <c r="H180" s="4" t="s">
        <v>21</v>
      </c>
      <c r="I180" s="4" t="s">
        <v>26</v>
      </c>
      <c r="J180" s="4" t="s">
        <v>20</v>
      </c>
      <c r="K180" s="4" t="s">
        <v>18</v>
      </c>
      <c r="L180" s="4" t="s">
        <v>19</v>
      </c>
      <c r="M180" s="4" t="s">
        <v>21</v>
      </c>
      <c r="N180" s="4" t="s">
        <v>26</v>
      </c>
      <c r="O180" s="4" t="s">
        <v>20</v>
      </c>
    </row>
    <row r="181" spans="1:15">
      <c r="A181" s="4" t="s">
        <v>95</v>
      </c>
      <c r="B181" s="4">
        <v>1</v>
      </c>
      <c r="C181" s="4">
        <v>8.9099999999999999E-2</v>
      </c>
      <c r="D181" s="4">
        <v>0</v>
      </c>
      <c r="E181" s="4" t="s">
        <v>107</v>
      </c>
      <c r="F181" s="4" t="s">
        <v>23</v>
      </c>
      <c r="G181" s="4" t="s">
        <v>21</v>
      </c>
      <c r="H181" s="4" t="s">
        <v>25</v>
      </c>
      <c r="I181" s="4" t="s">
        <v>17</v>
      </c>
      <c r="J181" s="4" t="s">
        <v>19</v>
      </c>
      <c r="K181" s="4" t="s">
        <v>23</v>
      </c>
      <c r="L181" s="4"/>
      <c r="M181" s="4" t="s">
        <v>25</v>
      </c>
      <c r="N181" s="4" t="s">
        <v>17</v>
      </c>
      <c r="O181" s="4" t="s">
        <v>19</v>
      </c>
    </row>
    <row r="182" spans="1:15">
      <c r="A182" s="4" t="s">
        <v>95</v>
      </c>
      <c r="B182" s="4">
        <v>1</v>
      </c>
      <c r="C182" s="4">
        <v>8.9099999999999999E-2</v>
      </c>
      <c r="D182" s="4">
        <v>-0.1</v>
      </c>
      <c r="E182" s="4" t="s">
        <v>107</v>
      </c>
      <c r="F182" s="4" t="s">
        <v>22</v>
      </c>
      <c r="G182" s="4" t="s">
        <v>24</v>
      </c>
      <c r="H182" s="4" t="s">
        <v>25</v>
      </c>
      <c r="I182" s="4" t="s">
        <v>23</v>
      </c>
      <c r="J182" s="4" t="s">
        <v>26</v>
      </c>
      <c r="K182" s="4"/>
      <c r="L182" s="4"/>
      <c r="M182" s="4"/>
      <c r="N182" s="4"/>
      <c r="O182" s="4"/>
    </row>
    <row r="183" spans="1:15">
      <c r="A183" s="4" t="s">
        <v>95</v>
      </c>
      <c r="B183" s="4">
        <v>1</v>
      </c>
      <c r="C183" s="4">
        <v>8.9099999999999999E-2</v>
      </c>
      <c r="D183" s="4">
        <v>-0.2</v>
      </c>
      <c r="E183" s="4" t="s">
        <v>107</v>
      </c>
      <c r="F183" s="4" t="s">
        <v>21</v>
      </c>
      <c r="G183" s="4" t="s">
        <v>26</v>
      </c>
      <c r="H183" s="4" t="s">
        <v>17</v>
      </c>
      <c r="I183" s="4" t="s">
        <v>18</v>
      </c>
      <c r="J183" s="4" t="s">
        <v>20</v>
      </c>
      <c r="K183" s="4"/>
      <c r="L183" s="4"/>
      <c r="M183" s="4"/>
      <c r="N183" s="4"/>
      <c r="O183" s="4"/>
    </row>
    <row r="184" spans="1:15">
      <c r="A184" s="4" t="s">
        <v>95</v>
      </c>
      <c r="B184" s="4">
        <v>1</v>
      </c>
      <c r="C184" s="4">
        <v>8.9099999999999999E-2</v>
      </c>
      <c r="D184" s="4">
        <v>-0.3</v>
      </c>
      <c r="E184" s="4" t="s">
        <v>107</v>
      </c>
      <c r="F184" s="4" t="s">
        <v>20</v>
      </c>
      <c r="G184" s="4" t="s">
        <v>25</v>
      </c>
      <c r="H184" s="4" t="s">
        <v>19</v>
      </c>
      <c r="I184" s="4" t="s">
        <v>24</v>
      </c>
      <c r="J184" s="4" t="s">
        <v>18</v>
      </c>
      <c r="K184" s="4"/>
      <c r="L184" s="4"/>
      <c r="M184" s="4"/>
      <c r="N184" s="4"/>
      <c r="O184" s="4"/>
    </row>
    <row r="185" spans="1:15">
      <c r="A185" s="4" t="s">
        <v>96</v>
      </c>
      <c r="B185" s="4">
        <v>1</v>
      </c>
      <c r="C185" s="4">
        <v>4.4699999999999997E-2</v>
      </c>
      <c r="D185" s="4">
        <v>1.7</v>
      </c>
      <c r="E185" s="4" t="s">
        <v>107</v>
      </c>
      <c r="F185" s="4" t="s">
        <v>26</v>
      </c>
      <c r="G185" s="4" t="s">
        <v>22</v>
      </c>
      <c r="H185" s="4" t="s">
        <v>24</v>
      </c>
      <c r="I185" s="4" t="s">
        <v>19</v>
      </c>
      <c r="J185" s="4" t="s">
        <v>23</v>
      </c>
      <c r="K185" s="4" t="s">
        <v>26</v>
      </c>
      <c r="L185" s="4" t="s">
        <v>22</v>
      </c>
      <c r="M185" s="4" t="s">
        <v>24</v>
      </c>
      <c r="N185" s="4" t="s">
        <v>19</v>
      </c>
      <c r="O185" s="4" t="s">
        <v>23</v>
      </c>
    </row>
    <row r="186" spans="1:15">
      <c r="A186" s="4" t="s">
        <v>96</v>
      </c>
      <c r="B186" s="4">
        <v>1</v>
      </c>
      <c r="C186" s="4">
        <v>4.4699999999999997E-2</v>
      </c>
      <c r="D186" s="4">
        <v>1.6</v>
      </c>
      <c r="E186" s="4" t="s">
        <v>107</v>
      </c>
      <c r="F186" s="4" t="s">
        <v>17</v>
      </c>
      <c r="G186" s="4" t="s">
        <v>18</v>
      </c>
      <c r="H186" s="4" t="s">
        <v>24</v>
      </c>
      <c r="I186" s="4" t="s">
        <v>20</v>
      </c>
      <c r="J186" s="4" t="s">
        <v>21</v>
      </c>
      <c r="K186" s="4" t="s">
        <v>17</v>
      </c>
      <c r="L186" s="4" t="s">
        <v>18</v>
      </c>
      <c r="M186" s="4" t="s">
        <v>24</v>
      </c>
      <c r="N186" s="4" t="s">
        <v>20</v>
      </c>
      <c r="O186" s="4" t="s">
        <v>21</v>
      </c>
    </row>
    <row r="187" spans="1:15">
      <c r="A187" s="4" t="s">
        <v>96</v>
      </c>
      <c r="B187" s="4">
        <v>1</v>
      </c>
      <c r="C187" s="4">
        <v>4.4699999999999997E-2</v>
      </c>
      <c r="D187" s="4">
        <v>1.5</v>
      </c>
      <c r="E187" s="4" t="s">
        <v>107</v>
      </c>
      <c r="F187" s="4" t="s">
        <v>24</v>
      </c>
      <c r="G187" s="4" t="s">
        <v>21</v>
      </c>
      <c r="H187" s="4" t="s">
        <v>19</v>
      </c>
      <c r="I187" s="4" t="s">
        <v>26</v>
      </c>
      <c r="J187" s="4" t="s">
        <v>23</v>
      </c>
      <c r="K187" s="4" t="s">
        <v>24</v>
      </c>
      <c r="L187" s="4" t="s">
        <v>21</v>
      </c>
      <c r="M187" s="4" t="s">
        <v>19</v>
      </c>
      <c r="N187" s="4" t="s">
        <v>26</v>
      </c>
      <c r="O187" s="4" t="s">
        <v>23</v>
      </c>
    </row>
    <row r="188" spans="1:15">
      <c r="A188" s="4" t="s">
        <v>96</v>
      </c>
      <c r="B188" s="4">
        <v>1</v>
      </c>
      <c r="C188" s="4">
        <v>4.4699999999999997E-2</v>
      </c>
      <c r="D188" s="4">
        <v>1.4</v>
      </c>
      <c r="E188" s="4" t="s">
        <v>107</v>
      </c>
      <c r="F188" s="4" t="s">
        <v>22</v>
      </c>
      <c r="G188" s="4" t="s">
        <v>17</v>
      </c>
      <c r="H188" s="4" t="s">
        <v>23</v>
      </c>
      <c r="I188" s="4" t="s">
        <v>19</v>
      </c>
      <c r="J188" s="4" t="s">
        <v>24</v>
      </c>
      <c r="K188" s="4" t="s">
        <v>22</v>
      </c>
      <c r="L188" s="4" t="s">
        <v>17</v>
      </c>
      <c r="M188" s="4" t="s">
        <v>23</v>
      </c>
      <c r="N188" s="4" t="s">
        <v>19</v>
      </c>
      <c r="O188" s="4" t="s">
        <v>24</v>
      </c>
    </row>
    <row r="189" spans="1:15">
      <c r="A189" s="4" t="s">
        <v>96</v>
      </c>
      <c r="B189" s="4">
        <v>1</v>
      </c>
      <c r="C189" s="4">
        <v>4.4699999999999997E-2</v>
      </c>
      <c r="D189" s="4">
        <v>1.3</v>
      </c>
      <c r="E189" s="4" t="s">
        <v>107</v>
      </c>
      <c r="F189" s="4" t="s">
        <v>25</v>
      </c>
      <c r="G189" s="4" t="s">
        <v>17</v>
      </c>
      <c r="H189" s="4" t="s">
        <v>18</v>
      </c>
      <c r="I189" s="4" t="s">
        <v>24</v>
      </c>
      <c r="J189" s="4" t="s">
        <v>23</v>
      </c>
      <c r="K189" s="4" t="s">
        <v>25</v>
      </c>
      <c r="L189" s="4" t="s">
        <v>17</v>
      </c>
      <c r="M189" s="4" t="s">
        <v>18</v>
      </c>
      <c r="N189" s="4" t="s">
        <v>24</v>
      </c>
      <c r="O189" s="4" t="s">
        <v>23</v>
      </c>
    </row>
    <row r="190" spans="1:15">
      <c r="A190" s="4" t="s">
        <v>96</v>
      </c>
      <c r="B190" s="4">
        <v>1</v>
      </c>
      <c r="C190" s="4">
        <v>4.4699999999999997E-2</v>
      </c>
      <c r="D190" s="4">
        <v>1.2</v>
      </c>
      <c r="E190" s="4" t="s">
        <v>107</v>
      </c>
      <c r="F190" s="4" t="s">
        <v>17</v>
      </c>
      <c r="G190" s="4" t="s">
        <v>23</v>
      </c>
      <c r="H190" s="4" t="s">
        <v>24</v>
      </c>
      <c r="I190" s="4" t="s">
        <v>25</v>
      </c>
      <c r="J190" s="4" t="s">
        <v>22</v>
      </c>
      <c r="K190" s="4" t="s">
        <v>17</v>
      </c>
      <c r="L190" s="4" t="s">
        <v>23</v>
      </c>
      <c r="M190" s="4" t="s">
        <v>24</v>
      </c>
      <c r="N190" s="4" t="s">
        <v>25</v>
      </c>
      <c r="O190" s="4" t="s">
        <v>22</v>
      </c>
    </row>
    <row r="191" spans="1:15">
      <c r="A191" s="4" t="s">
        <v>96</v>
      </c>
      <c r="B191" s="4">
        <v>1</v>
      </c>
      <c r="C191" s="4">
        <v>4.4699999999999997E-2</v>
      </c>
      <c r="D191" s="4">
        <v>1.1000000000000001</v>
      </c>
      <c r="E191" s="4" t="s">
        <v>107</v>
      </c>
      <c r="F191" s="4" t="s">
        <v>18</v>
      </c>
      <c r="G191" s="4" t="s">
        <v>24</v>
      </c>
      <c r="H191" s="4" t="s">
        <v>19</v>
      </c>
      <c r="I191" s="4" t="s">
        <v>26</v>
      </c>
      <c r="J191" s="4" t="s">
        <v>21</v>
      </c>
      <c r="K191" s="4" t="s">
        <v>18</v>
      </c>
      <c r="L191" s="4" t="s">
        <v>24</v>
      </c>
      <c r="M191" s="4" t="s">
        <v>19</v>
      </c>
      <c r="N191" s="4" t="s">
        <v>26</v>
      </c>
      <c r="O191" s="4" t="s">
        <v>21</v>
      </c>
    </row>
    <row r="192" spans="1:15">
      <c r="A192" s="4" t="s">
        <v>96</v>
      </c>
      <c r="B192" s="4">
        <v>1</v>
      </c>
      <c r="C192" s="4">
        <v>4.4699999999999997E-2</v>
      </c>
      <c r="D192" s="4">
        <v>1</v>
      </c>
      <c r="E192" s="4" t="s">
        <v>107</v>
      </c>
      <c r="F192" s="4" t="s">
        <v>22</v>
      </c>
      <c r="G192" s="4" t="s">
        <v>18</v>
      </c>
      <c r="H192" s="4" t="s">
        <v>25</v>
      </c>
      <c r="I192" s="4" t="s">
        <v>17</v>
      </c>
      <c r="J192" s="4" t="s">
        <v>21</v>
      </c>
      <c r="K192" s="4" t="s">
        <v>22</v>
      </c>
      <c r="L192" s="4" t="s">
        <v>18</v>
      </c>
      <c r="M192" s="4" t="s">
        <v>25</v>
      </c>
      <c r="N192" s="4" t="s">
        <v>17</v>
      </c>
      <c r="O192" s="4" t="s">
        <v>21</v>
      </c>
    </row>
    <row r="193" spans="1:15">
      <c r="A193" s="4" t="s">
        <v>96</v>
      </c>
      <c r="B193" s="4">
        <v>1</v>
      </c>
      <c r="C193" s="4">
        <v>4.4699999999999997E-2</v>
      </c>
      <c r="D193" s="4">
        <v>0.9</v>
      </c>
      <c r="E193" s="4" t="s">
        <v>107</v>
      </c>
      <c r="F193" s="4" t="s">
        <v>22</v>
      </c>
      <c r="G193" s="4" t="s">
        <v>23</v>
      </c>
      <c r="H193" s="4" t="s">
        <v>25</v>
      </c>
      <c r="I193" s="4" t="s">
        <v>17</v>
      </c>
      <c r="J193" s="4" t="s">
        <v>18</v>
      </c>
      <c r="K193" s="4" t="s">
        <v>22</v>
      </c>
      <c r="L193" s="4" t="s">
        <v>23</v>
      </c>
      <c r="M193" s="4" t="s">
        <v>25</v>
      </c>
      <c r="N193" s="4" t="s">
        <v>17</v>
      </c>
      <c r="O193" s="4" t="s">
        <v>18</v>
      </c>
    </row>
    <row r="194" spans="1:15">
      <c r="A194" s="4" t="s">
        <v>96</v>
      </c>
      <c r="B194" s="4">
        <v>1</v>
      </c>
      <c r="C194" s="4">
        <v>4.4699999999999997E-2</v>
      </c>
      <c r="D194" s="4">
        <v>0.8</v>
      </c>
      <c r="E194" s="4" t="s">
        <v>107</v>
      </c>
      <c r="F194" s="4" t="s">
        <v>24</v>
      </c>
      <c r="G194" s="4" t="s">
        <v>26</v>
      </c>
      <c r="H194" s="4" t="s">
        <v>22</v>
      </c>
      <c r="I194" s="4" t="s">
        <v>19</v>
      </c>
      <c r="J194" s="4" t="s">
        <v>20</v>
      </c>
      <c r="K194" s="4" t="s">
        <v>24</v>
      </c>
      <c r="L194" s="4" t="s">
        <v>26</v>
      </c>
      <c r="M194" s="4" t="s">
        <v>22</v>
      </c>
      <c r="N194" s="4" t="s">
        <v>19</v>
      </c>
      <c r="O194" s="4" t="s">
        <v>20</v>
      </c>
    </row>
    <row r="195" spans="1:15">
      <c r="A195" s="4" t="s">
        <v>96</v>
      </c>
      <c r="B195" s="4">
        <v>1</v>
      </c>
      <c r="C195" s="4">
        <v>4.4699999999999997E-2</v>
      </c>
      <c r="D195" s="4">
        <v>0.7</v>
      </c>
      <c r="E195" s="4" t="s">
        <v>107</v>
      </c>
      <c r="F195" s="4" t="s">
        <v>17</v>
      </c>
      <c r="G195" s="4" t="s">
        <v>25</v>
      </c>
      <c r="H195" s="4" t="s">
        <v>19</v>
      </c>
      <c r="I195" s="4" t="s">
        <v>20</v>
      </c>
      <c r="J195" s="4" t="s">
        <v>21</v>
      </c>
      <c r="K195" s="4" t="s">
        <v>17</v>
      </c>
      <c r="L195" s="4" t="s">
        <v>25</v>
      </c>
      <c r="M195" s="4" t="s">
        <v>19</v>
      </c>
      <c r="N195" s="4" t="s">
        <v>20</v>
      </c>
      <c r="O195" s="4" t="s">
        <v>21</v>
      </c>
    </row>
    <row r="196" spans="1:15">
      <c r="A196" s="4" t="s">
        <v>96</v>
      </c>
      <c r="B196" s="4">
        <v>1</v>
      </c>
      <c r="C196" s="4">
        <v>4.4699999999999997E-2</v>
      </c>
      <c r="D196" s="4">
        <v>0.6</v>
      </c>
      <c r="E196" s="4" t="s">
        <v>107</v>
      </c>
      <c r="F196" s="4" t="s">
        <v>25</v>
      </c>
      <c r="G196" s="4" t="s">
        <v>22</v>
      </c>
      <c r="H196" s="4" t="s">
        <v>20</v>
      </c>
      <c r="I196" s="4" t="s">
        <v>26</v>
      </c>
      <c r="J196" s="4" t="s">
        <v>21</v>
      </c>
      <c r="K196" s="4" t="s">
        <v>25</v>
      </c>
      <c r="L196" s="4" t="s">
        <v>22</v>
      </c>
      <c r="M196" s="4" t="s">
        <v>20</v>
      </c>
      <c r="N196" s="4" t="s">
        <v>26</v>
      </c>
      <c r="O196" s="4" t="s">
        <v>21</v>
      </c>
    </row>
    <row r="197" spans="1:15">
      <c r="A197" s="4" t="s">
        <v>96</v>
      </c>
      <c r="B197" s="4">
        <v>1</v>
      </c>
      <c r="C197" s="4">
        <v>4.4699999999999997E-2</v>
      </c>
      <c r="D197" s="4">
        <v>0.5</v>
      </c>
      <c r="E197" s="4" t="s">
        <v>107</v>
      </c>
      <c r="F197" s="4" t="s">
        <v>26</v>
      </c>
      <c r="G197" s="4" t="s">
        <v>19</v>
      </c>
      <c r="H197" s="4" t="s">
        <v>21</v>
      </c>
      <c r="I197" s="4" t="s">
        <v>23</v>
      </c>
      <c r="J197" s="4" t="s">
        <v>24</v>
      </c>
      <c r="K197" s="4" t="s">
        <v>26</v>
      </c>
      <c r="L197" s="4" t="s">
        <v>19</v>
      </c>
      <c r="M197" s="4" t="s">
        <v>21</v>
      </c>
      <c r="N197" s="4" t="s">
        <v>23</v>
      </c>
      <c r="O197" s="4" t="s">
        <v>24</v>
      </c>
    </row>
    <row r="198" spans="1:15">
      <c r="A198" s="4" t="s">
        <v>96</v>
      </c>
      <c r="B198" s="4">
        <v>1</v>
      </c>
      <c r="C198" s="4">
        <v>4.4699999999999997E-2</v>
      </c>
      <c r="D198" s="4">
        <v>0.4</v>
      </c>
      <c r="E198" s="4" t="s">
        <v>107</v>
      </c>
      <c r="F198" s="4" t="s">
        <v>18</v>
      </c>
      <c r="G198" s="4" t="s">
        <v>25</v>
      </c>
      <c r="H198" s="4" t="s">
        <v>19</v>
      </c>
      <c r="I198" s="4" t="s">
        <v>17</v>
      </c>
      <c r="J198" s="4" t="s">
        <v>24</v>
      </c>
      <c r="K198" s="4" t="s">
        <v>18</v>
      </c>
      <c r="L198" s="4" t="s">
        <v>25</v>
      </c>
      <c r="M198" s="4" t="s">
        <v>19</v>
      </c>
      <c r="N198" s="4" t="s">
        <v>17</v>
      </c>
      <c r="O198" s="4" t="s">
        <v>24</v>
      </c>
    </row>
    <row r="199" spans="1:15">
      <c r="A199" s="4" t="s">
        <v>96</v>
      </c>
      <c r="B199" s="4">
        <v>1</v>
      </c>
      <c r="C199" s="4">
        <v>4.4699999999999997E-2</v>
      </c>
      <c r="D199" s="4">
        <v>0.3</v>
      </c>
      <c r="E199" s="4" t="s">
        <v>107</v>
      </c>
      <c r="F199" s="4" t="s">
        <v>25</v>
      </c>
      <c r="G199" s="4" t="s">
        <v>26</v>
      </c>
      <c r="H199" s="4" t="s">
        <v>21</v>
      </c>
      <c r="I199" s="4" t="s">
        <v>19</v>
      </c>
      <c r="J199" s="4" t="s">
        <v>22</v>
      </c>
      <c r="K199" s="4" t="s">
        <v>25</v>
      </c>
      <c r="L199" s="4" t="s">
        <v>26</v>
      </c>
      <c r="M199" s="4" t="s">
        <v>21</v>
      </c>
      <c r="N199" s="4" t="s">
        <v>19</v>
      </c>
      <c r="O199" s="4" t="s">
        <v>22</v>
      </c>
    </row>
    <row r="200" spans="1:15">
      <c r="A200" s="4" t="s">
        <v>96</v>
      </c>
      <c r="B200" s="4">
        <v>1</v>
      </c>
      <c r="C200" s="4">
        <v>4.4699999999999997E-2</v>
      </c>
      <c r="D200" s="4">
        <v>0.2</v>
      </c>
      <c r="E200" s="4" t="s">
        <v>107</v>
      </c>
      <c r="F200" s="4" t="s">
        <v>25</v>
      </c>
      <c r="G200" s="4" t="s">
        <v>20</v>
      </c>
      <c r="H200" s="4" t="s">
        <v>19</v>
      </c>
      <c r="I200" s="4" t="s">
        <v>17</v>
      </c>
      <c r="J200" s="4" t="s">
        <v>22</v>
      </c>
      <c r="K200" s="4" t="s">
        <v>25</v>
      </c>
      <c r="L200" s="4" t="s">
        <v>20</v>
      </c>
      <c r="M200" s="4" t="s">
        <v>19</v>
      </c>
      <c r="N200" s="4" t="s">
        <v>17</v>
      </c>
      <c r="O200" s="4" t="s">
        <v>22</v>
      </c>
    </row>
    <row r="201" spans="1:15">
      <c r="A201" s="4" t="s">
        <v>96</v>
      </c>
      <c r="B201" s="4">
        <v>1</v>
      </c>
      <c r="C201" s="4">
        <v>4.4699999999999997E-2</v>
      </c>
      <c r="D201" s="4">
        <v>0.1</v>
      </c>
      <c r="E201" s="4" t="s">
        <v>107</v>
      </c>
      <c r="F201" s="4" t="s">
        <v>24</v>
      </c>
      <c r="G201" s="4" t="s">
        <v>26</v>
      </c>
      <c r="H201" s="4" t="s">
        <v>19</v>
      </c>
      <c r="I201" s="4" t="s">
        <v>17</v>
      </c>
      <c r="J201" s="4" t="s">
        <v>22</v>
      </c>
      <c r="K201" s="4" t="s">
        <v>24</v>
      </c>
      <c r="L201" s="4" t="s">
        <v>26</v>
      </c>
      <c r="M201" s="4" t="s">
        <v>19</v>
      </c>
      <c r="N201" s="4" t="s">
        <v>17</v>
      </c>
      <c r="O201" s="4" t="s">
        <v>22</v>
      </c>
    </row>
    <row r="202" spans="1:15">
      <c r="A202" s="4" t="s">
        <v>96</v>
      </c>
      <c r="B202" s="4">
        <v>1</v>
      </c>
      <c r="C202" s="4">
        <v>4.4699999999999997E-2</v>
      </c>
      <c r="D202" s="4">
        <v>0</v>
      </c>
      <c r="E202" s="4" t="s">
        <v>107</v>
      </c>
      <c r="F202" s="4" t="s">
        <v>20</v>
      </c>
      <c r="G202" s="4" t="s">
        <v>18</v>
      </c>
      <c r="H202" s="4" t="s">
        <v>21</v>
      </c>
      <c r="I202" s="4" t="s">
        <v>19</v>
      </c>
      <c r="J202" s="4" t="s">
        <v>24</v>
      </c>
      <c r="K202" s="4"/>
      <c r="L202" s="4"/>
      <c r="M202" s="4"/>
      <c r="N202" s="4"/>
      <c r="O202" s="4"/>
    </row>
    <row r="203" spans="1:15">
      <c r="A203" s="4" t="s">
        <v>96</v>
      </c>
      <c r="B203" s="4">
        <v>1</v>
      </c>
      <c r="C203" s="4">
        <v>4.4699999999999997E-2</v>
      </c>
      <c r="D203" s="4">
        <v>-0.1</v>
      </c>
      <c r="E203" s="4" t="s">
        <v>107</v>
      </c>
      <c r="F203" s="4" t="s">
        <v>20</v>
      </c>
      <c r="G203" s="4" t="s">
        <v>19</v>
      </c>
      <c r="H203" s="4" t="s">
        <v>18</v>
      </c>
      <c r="I203" s="4" t="s">
        <v>22</v>
      </c>
      <c r="J203" s="4" t="s">
        <v>17</v>
      </c>
      <c r="K203" s="4"/>
      <c r="L203" s="4"/>
      <c r="M203" s="4"/>
      <c r="N203" s="4"/>
      <c r="O203" s="4"/>
    </row>
    <row r="204" spans="1:15">
      <c r="A204" s="4" t="s">
        <v>96</v>
      </c>
      <c r="B204" s="4">
        <v>1</v>
      </c>
      <c r="C204" s="4">
        <v>4.4699999999999997E-2</v>
      </c>
      <c r="D204" s="4">
        <v>-0.2</v>
      </c>
      <c r="E204" s="4" t="s">
        <v>107</v>
      </c>
      <c r="F204" s="4" t="s">
        <v>24</v>
      </c>
      <c r="G204" s="4" t="s">
        <v>21</v>
      </c>
      <c r="H204" s="4" t="s">
        <v>25</v>
      </c>
      <c r="I204" s="4" t="s">
        <v>26</v>
      </c>
      <c r="J204" s="4" t="s">
        <v>23</v>
      </c>
      <c r="K204" s="4"/>
      <c r="L204" s="4"/>
      <c r="M204" s="4"/>
      <c r="N204" s="4"/>
      <c r="O204" s="4"/>
    </row>
    <row r="205" spans="1:15">
      <c r="A205" s="4" t="s">
        <v>96</v>
      </c>
      <c r="B205" s="4">
        <v>1</v>
      </c>
      <c r="C205" s="4">
        <v>4.4699999999999997E-2</v>
      </c>
      <c r="D205" s="4">
        <v>-0.3</v>
      </c>
      <c r="E205" s="4" t="s">
        <v>107</v>
      </c>
      <c r="F205" s="4" t="s">
        <v>18</v>
      </c>
      <c r="G205" s="4" t="s">
        <v>25</v>
      </c>
      <c r="H205" s="4" t="s">
        <v>17</v>
      </c>
      <c r="I205" s="4" t="s">
        <v>21</v>
      </c>
      <c r="J205" s="4" t="s">
        <v>22</v>
      </c>
      <c r="K205" s="4"/>
      <c r="L205" s="4"/>
      <c r="M205" s="4"/>
      <c r="N205" s="4"/>
      <c r="O205" s="4"/>
    </row>
    <row r="206" spans="1:15">
      <c r="A206" s="4" t="s">
        <v>97</v>
      </c>
      <c r="B206" s="4">
        <v>1</v>
      </c>
      <c r="C206" s="4">
        <v>2.24E-2</v>
      </c>
      <c r="D206" s="4">
        <v>1.7</v>
      </c>
      <c r="E206" s="4" t="s">
        <v>107</v>
      </c>
      <c r="F206" s="4" t="s">
        <v>18</v>
      </c>
      <c r="G206" s="4" t="s">
        <v>25</v>
      </c>
      <c r="H206" s="4" t="s">
        <v>26</v>
      </c>
      <c r="I206" s="4" t="s">
        <v>21</v>
      </c>
      <c r="J206" s="4" t="s">
        <v>17</v>
      </c>
      <c r="K206" s="4" t="s">
        <v>18</v>
      </c>
      <c r="L206" s="4" t="s">
        <v>25</v>
      </c>
      <c r="M206" s="4" t="s">
        <v>26</v>
      </c>
      <c r="N206" s="4" t="s">
        <v>21</v>
      </c>
      <c r="O206" s="4" t="s">
        <v>17</v>
      </c>
    </row>
    <row r="207" spans="1:15">
      <c r="A207" s="4" t="s">
        <v>97</v>
      </c>
      <c r="B207" s="4">
        <v>1</v>
      </c>
      <c r="C207" s="4">
        <v>2.24E-2</v>
      </c>
      <c r="D207" s="4">
        <v>1.6</v>
      </c>
      <c r="E207" s="4" t="s">
        <v>107</v>
      </c>
      <c r="F207" s="4" t="s">
        <v>23</v>
      </c>
      <c r="G207" s="4" t="s">
        <v>19</v>
      </c>
      <c r="H207" s="4" t="s">
        <v>22</v>
      </c>
      <c r="I207" s="4" t="s">
        <v>25</v>
      </c>
      <c r="J207" s="4" t="s">
        <v>26</v>
      </c>
      <c r="K207" s="4" t="s">
        <v>23</v>
      </c>
      <c r="L207" s="4" t="s">
        <v>19</v>
      </c>
      <c r="M207" s="4" t="s">
        <v>22</v>
      </c>
      <c r="N207" s="4" t="s">
        <v>25</v>
      </c>
      <c r="O207" s="4" t="s">
        <v>26</v>
      </c>
    </row>
    <row r="208" spans="1:15">
      <c r="A208" s="4" t="s">
        <v>97</v>
      </c>
      <c r="B208" s="4">
        <v>1</v>
      </c>
      <c r="C208" s="4">
        <v>2.24E-2</v>
      </c>
      <c r="D208" s="4">
        <v>1.5</v>
      </c>
      <c r="E208" s="4" t="s">
        <v>107</v>
      </c>
      <c r="F208" s="4" t="s">
        <v>25</v>
      </c>
      <c r="G208" s="4" t="s">
        <v>18</v>
      </c>
      <c r="H208" s="4" t="s">
        <v>22</v>
      </c>
      <c r="I208" s="4" t="s">
        <v>20</v>
      </c>
      <c r="J208" s="4" t="s">
        <v>23</v>
      </c>
      <c r="K208" s="4" t="s">
        <v>25</v>
      </c>
      <c r="L208" s="4" t="s">
        <v>18</v>
      </c>
      <c r="M208" s="4" t="s">
        <v>22</v>
      </c>
      <c r="N208" s="4" t="s">
        <v>20</v>
      </c>
      <c r="O208" s="4" t="s">
        <v>23</v>
      </c>
    </row>
    <row r="209" spans="1:15">
      <c r="A209" s="4" t="s">
        <v>97</v>
      </c>
      <c r="B209" s="4">
        <v>1</v>
      </c>
      <c r="C209" s="4">
        <v>2.24E-2</v>
      </c>
      <c r="D209" s="4">
        <v>1.4</v>
      </c>
      <c r="E209" s="4" t="s">
        <v>107</v>
      </c>
      <c r="F209" s="4" t="s">
        <v>20</v>
      </c>
      <c r="G209" s="4" t="s">
        <v>24</v>
      </c>
      <c r="H209" s="4" t="s">
        <v>17</v>
      </c>
      <c r="I209" s="4" t="s">
        <v>23</v>
      </c>
      <c r="J209" s="4" t="s">
        <v>25</v>
      </c>
      <c r="K209" s="4" t="s">
        <v>20</v>
      </c>
      <c r="L209" s="4" t="s">
        <v>24</v>
      </c>
      <c r="M209" s="4" t="s">
        <v>17</v>
      </c>
      <c r="N209" s="4" t="s">
        <v>23</v>
      </c>
      <c r="O209" s="4" t="s">
        <v>25</v>
      </c>
    </row>
    <row r="210" spans="1:15">
      <c r="A210" s="4" t="s">
        <v>97</v>
      </c>
      <c r="B210" s="4">
        <v>1</v>
      </c>
      <c r="C210" s="4">
        <v>2.24E-2</v>
      </c>
      <c r="D210" s="4">
        <v>1.3</v>
      </c>
      <c r="E210" s="4" t="s">
        <v>107</v>
      </c>
      <c r="F210" s="4" t="s">
        <v>20</v>
      </c>
      <c r="G210" s="4" t="s">
        <v>18</v>
      </c>
      <c r="H210" s="4" t="s">
        <v>26</v>
      </c>
      <c r="I210" s="4" t="s">
        <v>21</v>
      </c>
      <c r="J210" s="4" t="s">
        <v>25</v>
      </c>
      <c r="K210" s="4" t="s">
        <v>20</v>
      </c>
      <c r="L210" s="4" t="s">
        <v>18</v>
      </c>
      <c r="M210" s="4" t="s">
        <v>26</v>
      </c>
      <c r="N210" s="4" t="s">
        <v>21</v>
      </c>
      <c r="O210" s="4" t="s">
        <v>25</v>
      </c>
    </row>
    <row r="211" spans="1:15">
      <c r="A211" s="4" t="s">
        <v>97</v>
      </c>
      <c r="B211" s="4">
        <v>1</v>
      </c>
      <c r="C211" s="4">
        <v>2.24E-2</v>
      </c>
      <c r="D211" s="4">
        <v>1.2</v>
      </c>
      <c r="E211" s="4" t="s">
        <v>107</v>
      </c>
      <c r="F211" s="4" t="s">
        <v>18</v>
      </c>
      <c r="G211" s="4" t="s">
        <v>19</v>
      </c>
      <c r="H211" s="4" t="s">
        <v>20</v>
      </c>
      <c r="I211" s="4" t="s">
        <v>22</v>
      </c>
      <c r="J211" s="4" t="s">
        <v>17</v>
      </c>
      <c r="K211" s="4" t="s">
        <v>18</v>
      </c>
      <c r="L211" s="4" t="s">
        <v>19</v>
      </c>
      <c r="M211" s="4" t="s">
        <v>20</v>
      </c>
      <c r="N211" s="4" t="s">
        <v>22</v>
      </c>
      <c r="O211" s="4" t="s">
        <v>17</v>
      </c>
    </row>
    <row r="212" spans="1:15">
      <c r="A212" s="4" t="s">
        <v>97</v>
      </c>
      <c r="B212" s="4">
        <v>1</v>
      </c>
      <c r="C212" s="4">
        <v>2.24E-2</v>
      </c>
      <c r="D212" s="4">
        <v>1.1000000000000001</v>
      </c>
      <c r="E212" s="4" t="s">
        <v>107</v>
      </c>
      <c r="F212" s="4" t="s">
        <v>21</v>
      </c>
      <c r="G212" s="4" t="s">
        <v>17</v>
      </c>
      <c r="H212" s="4" t="s">
        <v>25</v>
      </c>
      <c r="I212" s="4" t="s">
        <v>24</v>
      </c>
      <c r="J212" s="4" t="s">
        <v>20</v>
      </c>
      <c r="K212" s="4" t="s">
        <v>21</v>
      </c>
      <c r="L212" s="4" t="s">
        <v>17</v>
      </c>
      <c r="M212" s="4" t="s">
        <v>25</v>
      </c>
      <c r="N212" s="4" t="s">
        <v>24</v>
      </c>
      <c r="O212" s="4" t="s">
        <v>20</v>
      </c>
    </row>
    <row r="213" spans="1:15">
      <c r="A213" s="4" t="s">
        <v>97</v>
      </c>
      <c r="B213" s="4">
        <v>1</v>
      </c>
      <c r="C213" s="4">
        <v>2.24E-2</v>
      </c>
      <c r="D213" s="4">
        <v>1</v>
      </c>
      <c r="E213" s="4" t="s">
        <v>107</v>
      </c>
      <c r="F213" s="4" t="s">
        <v>21</v>
      </c>
      <c r="G213" s="4" t="s">
        <v>17</v>
      </c>
      <c r="H213" s="4" t="s">
        <v>20</v>
      </c>
      <c r="I213" s="4" t="s">
        <v>26</v>
      </c>
      <c r="J213" s="4" t="s">
        <v>23</v>
      </c>
      <c r="K213" s="4" t="s">
        <v>21</v>
      </c>
      <c r="L213" s="4" t="s">
        <v>17</v>
      </c>
      <c r="M213" s="4" t="s">
        <v>20</v>
      </c>
      <c r="N213" s="4" t="s">
        <v>26</v>
      </c>
      <c r="O213" s="4" t="s">
        <v>23</v>
      </c>
    </row>
    <row r="214" spans="1:15">
      <c r="A214" s="4" t="s">
        <v>97</v>
      </c>
      <c r="B214" s="4">
        <v>1</v>
      </c>
      <c r="C214" s="4">
        <v>2.24E-2</v>
      </c>
      <c r="D214" s="4">
        <v>0.9</v>
      </c>
      <c r="E214" s="4" t="s">
        <v>107</v>
      </c>
      <c r="F214" s="4" t="s">
        <v>19</v>
      </c>
      <c r="G214" s="4" t="s">
        <v>17</v>
      </c>
      <c r="H214" s="4" t="s">
        <v>26</v>
      </c>
      <c r="I214" s="4" t="s">
        <v>22</v>
      </c>
      <c r="J214" s="4" t="s">
        <v>21</v>
      </c>
      <c r="K214" s="4" t="s">
        <v>19</v>
      </c>
      <c r="L214" s="4" t="s">
        <v>17</v>
      </c>
      <c r="M214" s="4" t="s">
        <v>26</v>
      </c>
      <c r="N214" s="4" t="s">
        <v>22</v>
      </c>
      <c r="O214" s="4" t="s">
        <v>21</v>
      </c>
    </row>
    <row r="215" spans="1:15">
      <c r="A215" s="4" t="s">
        <v>97</v>
      </c>
      <c r="B215" s="4">
        <v>1</v>
      </c>
      <c r="C215" s="4">
        <v>2.24E-2</v>
      </c>
      <c r="D215" s="4">
        <v>0.8</v>
      </c>
      <c r="E215" s="4" t="s">
        <v>107</v>
      </c>
      <c r="F215" s="4" t="s">
        <v>24</v>
      </c>
      <c r="G215" s="4" t="s">
        <v>25</v>
      </c>
      <c r="H215" s="4" t="s">
        <v>26</v>
      </c>
      <c r="I215" s="4" t="s">
        <v>19</v>
      </c>
      <c r="J215" s="4" t="s">
        <v>20</v>
      </c>
      <c r="K215" s="4" t="s">
        <v>24</v>
      </c>
      <c r="L215" s="4" t="s">
        <v>25</v>
      </c>
      <c r="M215" s="4" t="s">
        <v>26</v>
      </c>
      <c r="N215" s="4" t="s">
        <v>19</v>
      </c>
      <c r="O215" s="4" t="s">
        <v>20</v>
      </c>
    </row>
    <row r="216" spans="1:15">
      <c r="A216" s="4" t="s">
        <v>97</v>
      </c>
      <c r="B216" s="4">
        <v>1</v>
      </c>
      <c r="C216" s="4">
        <v>2.24E-2</v>
      </c>
      <c r="D216" s="4">
        <v>0.7</v>
      </c>
      <c r="E216" s="4" t="s">
        <v>107</v>
      </c>
      <c r="F216" s="4" t="s">
        <v>21</v>
      </c>
      <c r="G216" s="4" t="s">
        <v>20</v>
      </c>
      <c r="H216" s="4" t="s">
        <v>18</v>
      </c>
      <c r="I216" s="4" t="s">
        <v>22</v>
      </c>
      <c r="J216" s="4" t="s">
        <v>23</v>
      </c>
      <c r="K216" s="4" t="s">
        <v>21</v>
      </c>
      <c r="L216" s="4" t="s">
        <v>20</v>
      </c>
      <c r="M216" s="4" t="s">
        <v>18</v>
      </c>
      <c r="N216" s="4" t="s">
        <v>22</v>
      </c>
      <c r="O216" s="4" t="s">
        <v>23</v>
      </c>
    </row>
    <row r="217" spans="1:15">
      <c r="A217" s="4" t="s">
        <v>97</v>
      </c>
      <c r="B217" s="4">
        <v>1</v>
      </c>
      <c r="C217" s="4">
        <v>2.24E-2</v>
      </c>
      <c r="D217" s="4">
        <v>0.6</v>
      </c>
      <c r="E217" s="4" t="s">
        <v>107</v>
      </c>
      <c r="F217" s="4" t="s">
        <v>20</v>
      </c>
      <c r="G217" s="4" t="s">
        <v>21</v>
      </c>
      <c r="H217" s="4" t="s">
        <v>23</v>
      </c>
      <c r="I217" s="4" t="s">
        <v>26</v>
      </c>
      <c r="J217" s="4" t="s">
        <v>25</v>
      </c>
      <c r="K217" s="4" t="s">
        <v>20</v>
      </c>
      <c r="L217" s="4" t="s">
        <v>21</v>
      </c>
      <c r="M217" s="4" t="s">
        <v>23</v>
      </c>
      <c r="N217" s="4" t="s">
        <v>26</v>
      </c>
      <c r="O217" s="4" t="s">
        <v>25</v>
      </c>
    </row>
    <row r="218" spans="1:15">
      <c r="A218" s="4" t="s">
        <v>97</v>
      </c>
      <c r="B218" s="4">
        <v>1</v>
      </c>
      <c r="C218" s="4">
        <v>2.24E-2</v>
      </c>
      <c r="D218" s="4">
        <v>0.5</v>
      </c>
      <c r="E218" s="4" t="s">
        <v>107</v>
      </c>
      <c r="F218" s="4" t="s">
        <v>24</v>
      </c>
      <c r="G218" s="4" t="s">
        <v>18</v>
      </c>
      <c r="H218" s="4" t="s">
        <v>21</v>
      </c>
      <c r="I218" s="4" t="s">
        <v>22</v>
      </c>
      <c r="J218" s="4" t="s">
        <v>23</v>
      </c>
      <c r="K218" s="4" t="s">
        <v>24</v>
      </c>
      <c r="L218" s="4" t="s">
        <v>18</v>
      </c>
      <c r="M218" s="4" t="s">
        <v>21</v>
      </c>
      <c r="N218" s="4" t="s">
        <v>22</v>
      </c>
      <c r="O218" s="4" t="s">
        <v>23</v>
      </c>
    </row>
    <row r="219" spans="1:15">
      <c r="A219" s="4" t="s">
        <v>97</v>
      </c>
      <c r="B219" s="4">
        <v>1</v>
      </c>
      <c r="C219" s="4">
        <v>2.24E-2</v>
      </c>
      <c r="D219" s="4">
        <v>0.4</v>
      </c>
      <c r="E219" s="4" t="s">
        <v>107</v>
      </c>
      <c r="F219" s="4" t="s">
        <v>23</v>
      </c>
      <c r="G219" s="4" t="s">
        <v>26</v>
      </c>
      <c r="H219" s="4" t="s">
        <v>18</v>
      </c>
      <c r="I219" s="4" t="s">
        <v>21</v>
      </c>
      <c r="J219" s="4" t="s">
        <v>20</v>
      </c>
      <c r="K219" s="4" t="s">
        <v>23</v>
      </c>
      <c r="L219" s="4" t="s">
        <v>26</v>
      </c>
      <c r="M219" s="4" t="s">
        <v>18</v>
      </c>
      <c r="N219" s="4" t="s">
        <v>21</v>
      </c>
      <c r="O219" s="4" t="s">
        <v>20</v>
      </c>
    </row>
    <row r="220" spans="1:15">
      <c r="A220" s="4" t="s">
        <v>97</v>
      </c>
      <c r="B220" s="4">
        <v>1</v>
      </c>
      <c r="C220" s="4">
        <v>2.24E-2</v>
      </c>
      <c r="D220" s="4">
        <v>0.3</v>
      </c>
      <c r="E220" s="4" t="s">
        <v>107</v>
      </c>
      <c r="F220" s="4" t="s">
        <v>22</v>
      </c>
      <c r="G220" s="4" t="s">
        <v>19</v>
      </c>
      <c r="H220" s="4" t="s">
        <v>18</v>
      </c>
      <c r="I220" s="4" t="s">
        <v>23</v>
      </c>
      <c r="J220" s="4" t="s">
        <v>17</v>
      </c>
      <c r="K220" s="4" t="s">
        <v>22</v>
      </c>
      <c r="L220" s="4"/>
      <c r="M220" s="4" t="s">
        <v>18</v>
      </c>
      <c r="N220" s="4" t="s">
        <v>23</v>
      </c>
      <c r="O220" s="4" t="s">
        <v>17</v>
      </c>
    </row>
    <row r="221" spans="1:15">
      <c r="A221" s="4" t="s">
        <v>97</v>
      </c>
      <c r="B221" s="4">
        <v>1</v>
      </c>
      <c r="C221" s="4">
        <v>2.24E-2</v>
      </c>
      <c r="D221" s="4">
        <v>0.2</v>
      </c>
      <c r="E221" s="4" t="s">
        <v>107</v>
      </c>
      <c r="F221" s="4" t="s">
        <v>22</v>
      </c>
      <c r="G221" s="4" t="s">
        <v>20</v>
      </c>
      <c r="H221" s="4" t="s">
        <v>24</v>
      </c>
      <c r="I221" s="4" t="s">
        <v>23</v>
      </c>
      <c r="J221" s="4" t="s">
        <v>19</v>
      </c>
      <c r="K221" s="4"/>
      <c r="L221" s="4"/>
      <c r="M221" s="4"/>
      <c r="N221" s="4"/>
      <c r="O221" s="4"/>
    </row>
    <row r="222" spans="1:15">
      <c r="A222" s="4" t="s">
        <v>97</v>
      </c>
      <c r="B222" s="4">
        <v>1</v>
      </c>
      <c r="C222" s="4">
        <v>2.24E-2</v>
      </c>
      <c r="D222" s="4">
        <v>0.1</v>
      </c>
      <c r="E222" s="4" t="s">
        <v>107</v>
      </c>
      <c r="F222" s="4" t="s">
        <v>18</v>
      </c>
      <c r="G222" s="4" t="s">
        <v>22</v>
      </c>
      <c r="H222" s="4" t="s">
        <v>26</v>
      </c>
      <c r="I222" s="4" t="s">
        <v>21</v>
      </c>
      <c r="J222" s="4" t="s">
        <v>25</v>
      </c>
      <c r="K222" s="4"/>
      <c r="L222" s="4"/>
      <c r="M222" s="4"/>
      <c r="N222" s="4"/>
      <c r="O222" s="4"/>
    </row>
    <row r="223" spans="1:15">
      <c r="A223" s="4" t="s">
        <v>97</v>
      </c>
      <c r="B223" s="4">
        <v>1</v>
      </c>
      <c r="C223" s="4">
        <v>2.24E-2</v>
      </c>
      <c r="D223" s="4">
        <v>0</v>
      </c>
      <c r="E223" s="4" t="s">
        <v>107</v>
      </c>
      <c r="F223" s="4" t="s">
        <v>21</v>
      </c>
      <c r="G223" s="4" t="s">
        <v>24</v>
      </c>
      <c r="H223" s="4" t="s">
        <v>25</v>
      </c>
      <c r="I223" s="4" t="s">
        <v>18</v>
      </c>
      <c r="J223" s="4" t="s">
        <v>23</v>
      </c>
      <c r="K223" s="4"/>
      <c r="L223" s="4"/>
      <c r="M223" s="4"/>
      <c r="N223" s="4"/>
      <c r="O223" s="4"/>
    </row>
    <row r="224" spans="1:15">
      <c r="A224" s="4" t="s">
        <v>97</v>
      </c>
      <c r="B224" s="4">
        <v>1</v>
      </c>
      <c r="C224" s="4">
        <v>2.24E-2</v>
      </c>
      <c r="D224" s="4">
        <v>-0.1</v>
      </c>
      <c r="E224" s="4" t="s">
        <v>107</v>
      </c>
      <c r="F224" s="4" t="s">
        <v>17</v>
      </c>
      <c r="G224" s="4" t="s">
        <v>18</v>
      </c>
      <c r="H224" s="4" t="s">
        <v>20</v>
      </c>
      <c r="I224" s="4" t="s">
        <v>21</v>
      </c>
      <c r="J224" s="4" t="s">
        <v>25</v>
      </c>
      <c r="K224" s="4"/>
      <c r="L224" s="4"/>
      <c r="M224" s="4"/>
      <c r="N224" s="4"/>
      <c r="O224" s="4"/>
    </row>
    <row r="225" spans="1:15">
      <c r="A225" s="4" t="s">
        <v>97</v>
      </c>
      <c r="B225" s="4">
        <v>1</v>
      </c>
      <c r="C225" s="4">
        <v>2.24E-2</v>
      </c>
      <c r="D225" s="4">
        <v>-0.2</v>
      </c>
      <c r="E225" s="4" t="s">
        <v>107</v>
      </c>
      <c r="F225" s="4" t="s">
        <v>25</v>
      </c>
      <c r="G225" s="4" t="s">
        <v>24</v>
      </c>
      <c r="H225" s="4" t="s">
        <v>18</v>
      </c>
      <c r="I225" s="4" t="s">
        <v>21</v>
      </c>
      <c r="J225" s="4" t="s">
        <v>19</v>
      </c>
      <c r="K225" s="4"/>
      <c r="L225" s="4"/>
      <c r="M225" s="4"/>
      <c r="N225" s="4"/>
      <c r="O225" s="4"/>
    </row>
    <row r="226" spans="1:15">
      <c r="A226" s="4" t="s">
        <v>97</v>
      </c>
      <c r="B226" s="4">
        <v>1</v>
      </c>
      <c r="C226" s="4">
        <v>2.24E-2</v>
      </c>
      <c r="D226" s="4">
        <v>-0.3</v>
      </c>
      <c r="E226" s="4" t="s">
        <v>107</v>
      </c>
      <c r="F226" s="4" t="s">
        <v>23</v>
      </c>
      <c r="G226" s="4" t="s">
        <v>19</v>
      </c>
      <c r="H226" s="4" t="s">
        <v>21</v>
      </c>
      <c r="I226" s="4" t="s">
        <v>17</v>
      </c>
      <c r="J226" s="4" t="s">
        <v>24</v>
      </c>
      <c r="K226" s="4"/>
      <c r="L226" s="4"/>
      <c r="M226" s="4"/>
      <c r="N226" s="4"/>
      <c r="O226" s="4"/>
    </row>
    <row r="227" spans="1:15">
      <c r="A227" s="4" t="s">
        <v>98</v>
      </c>
      <c r="B227" s="4">
        <v>1</v>
      </c>
      <c r="C227" s="4">
        <v>1.12E-2</v>
      </c>
      <c r="D227" s="4">
        <v>1.7</v>
      </c>
      <c r="E227" s="4" t="s">
        <v>107</v>
      </c>
      <c r="F227" s="4" t="s">
        <v>26</v>
      </c>
      <c r="G227" s="4" t="s">
        <v>22</v>
      </c>
      <c r="H227" s="4" t="s">
        <v>21</v>
      </c>
      <c r="I227" s="4" t="s">
        <v>23</v>
      </c>
      <c r="J227" s="4" t="s">
        <v>17</v>
      </c>
      <c r="K227" s="4" t="s">
        <v>26</v>
      </c>
      <c r="L227" s="4" t="s">
        <v>22</v>
      </c>
      <c r="M227" s="4" t="s">
        <v>21</v>
      </c>
      <c r="N227" s="4" t="s">
        <v>23</v>
      </c>
      <c r="O227" s="4" t="s">
        <v>17</v>
      </c>
    </row>
    <row r="228" spans="1:15">
      <c r="A228" s="4" t="s">
        <v>98</v>
      </c>
      <c r="B228" s="4">
        <v>1</v>
      </c>
      <c r="C228" s="4">
        <v>1.12E-2</v>
      </c>
      <c r="D228" s="4">
        <v>1.6</v>
      </c>
      <c r="E228" s="4" t="s">
        <v>107</v>
      </c>
      <c r="F228" s="4" t="s">
        <v>26</v>
      </c>
      <c r="G228" s="4" t="s">
        <v>20</v>
      </c>
      <c r="H228" s="4" t="s">
        <v>18</v>
      </c>
      <c r="I228" s="4" t="s">
        <v>19</v>
      </c>
      <c r="J228" s="4" t="s">
        <v>17</v>
      </c>
      <c r="K228" s="4" t="s">
        <v>26</v>
      </c>
      <c r="L228" s="4" t="s">
        <v>20</v>
      </c>
      <c r="M228" s="4" t="s">
        <v>18</v>
      </c>
      <c r="N228" s="4" t="s">
        <v>19</v>
      </c>
      <c r="O228" s="4" t="s">
        <v>17</v>
      </c>
    </row>
    <row r="229" spans="1:15">
      <c r="A229" s="4" t="s">
        <v>98</v>
      </c>
      <c r="B229" s="4">
        <v>1</v>
      </c>
      <c r="C229" s="4">
        <v>1.12E-2</v>
      </c>
      <c r="D229" s="4">
        <v>1.5</v>
      </c>
      <c r="E229" s="4" t="s">
        <v>107</v>
      </c>
      <c r="F229" s="4" t="s">
        <v>25</v>
      </c>
      <c r="G229" s="4" t="s">
        <v>18</v>
      </c>
      <c r="H229" s="4" t="s">
        <v>26</v>
      </c>
      <c r="I229" s="4" t="s">
        <v>19</v>
      </c>
      <c r="J229" s="4" t="s">
        <v>17</v>
      </c>
      <c r="K229" s="4" t="s">
        <v>25</v>
      </c>
      <c r="L229" s="4" t="s">
        <v>18</v>
      </c>
      <c r="M229" s="4" t="s">
        <v>26</v>
      </c>
      <c r="N229" s="4" t="s">
        <v>19</v>
      </c>
      <c r="O229" s="4" t="s">
        <v>17</v>
      </c>
    </row>
    <row r="230" spans="1:15">
      <c r="A230" s="4" t="s">
        <v>98</v>
      </c>
      <c r="B230" s="4">
        <v>1</v>
      </c>
      <c r="C230" s="4">
        <v>1.12E-2</v>
      </c>
      <c r="D230" s="4">
        <v>1.4</v>
      </c>
      <c r="E230" s="4" t="s">
        <v>107</v>
      </c>
      <c r="F230" s="4" t="s">
        <v>22</v>
      </c>
      <c r="G230" s="4" t="s">
        <v>19</v>
      </c>
      <c r="H230" s="4" t="s">
        <v>18</v>
      </c>
      <c r="I230" s="4" t="s">
        <v>17</v>
      </c>
      <c r="J230" s="4" t="s">
        <v>25</v>
      </c>
      <c r="K230" s="4" t="s">
        <v>22</v>
      </c>
      <c r="L230" s="4" t="s">
        <v>19</v>
      </c>
      <c r="M230" s="4" t="s">
        <v>18</v>
      </c>
      <c r="N230" s="4" t="s">
        <v>17</v>
      </c>
      <c r="O230" s="4" t="s">
        <v>25</v>
      </c>
    </row>
    <row r="231" spans="1:15">
      <c r="A231" s="4" t="s">
        <v>98</v>
      </c>
      <c r="B231" s="4">
        <v>1</v>
      </c>
      <c r="C231" s="4">
        <v>1.12E-2</v>
      </c>
      <c r="D231" s="4">
        <v>1.3</v>
      </c>
      <c r="E231" s="4" t="s">
        <v>107</v>
      </c>
      <c r="F231" s="4" t="s">
        <v>26</v>
      </c>
      <c r="G231" s="4" t="s">
        <v>24</v>
      </c>
      <c r="H231" s="4" t="s">
        <v>20</v>
      </c>
      <c r="I231" s="4" t="s">
        <v>17</v>
      </c>
      <c r="J231" s="4" t="s">
        <v>21</v>
      </c>
      <c r="K231" s="4" t="s">
        <v>26</v>
      </c>
      <c r="L231" s="4" t="s">
        <v>24</v>
      </c>
      <c r="M231" s="4" t="s">
        <v>20</v>
      </c>
      <c r="N231" s="4" t="s">
        <v>17</v>
      </c>
      <c r="O231" s="4" t="s">
        <v>21</v>
      </c>
    </row>
    <row r="232" spans="1:15">
      <c r="A232" s="4" t="s">
        <v>98</v>
      </c>
      <c r="B232" s="4">
        <v>1</v>
      </c>
      <c r="C232" s="4">
        <v>1.12E-2</v>
      </c>
      <c r="D232" s="4">
        <v>1.2</v>
      </c>
      <c r="E232" s="4" t="s">
        <v>107</v>
      </c>
      <c r="F232" s="4" t="s">
        <v>24</v>
      </c>
      <c r="G232" s="4" t="s">
        <v>20</v>
      </c>
      <c r="H232" s="4" t="s">
        <v>22</v>
      </c>
      <c r="I232" s="4" t="s">
        <v>19</v>
      </c>
      <c r="J232" s="4" t="s">
        <v>23</v>
      </c>
      <c r="K232" s="4" t="s">
        <v>24</v>
      </c>
      <c r="L232" s="4" t="s">
        <v>20</v>
      </c>
      <c r="M232" s="4" t="s">
        <v>22</v>
      </c>
      <c r="N232" s="4" t="s">
        <v>19</v>
      </c>
      <c r="O232" s="4" t="s">
        <v>23</v>
      </c>
    </row>
    <row r="233" spans="1:15">
      <c r="A233" s="4" t="s">
        <v>98</v>
      </c>
      <c r="B233" s="4">
        <v>1</v>
      </c>
      <c r="C233" s="4">
        <v>1.12E-2</v>
      </c>
      <c r="D233" s="4">
        <v>1.1000000000000001</v>
      </c>
      <c r="E233" s="4" t="s">
        <v>107</v>
      </c>
      <c r="F233" s="4" t="s">
        <v>23</v>
      </c>
      <c r="G233" s="4" t="s">
        <v>22</v>
      </c>
      <c r="H233" s="4" t="s">
        <v>17</v>
      </c>
      <c r="I233" s="4" t="s">
        <v>24</v>
      </c>
      <c r="J233" s="4" t="s">
        <v>18</v>
      </c>
      <c r="K233" s="4" t="s">
        <v>23</v>
      </c>
      <c r="L233" s="4" t="s">
        <v>22</v>
      </c>
      <c r="M233" s="4" t="s">
        <v>17</v>
      </c>
      <c r="N233" s="4" t="s">
        <v>24</v>
      </c>
      <c r="O233" s="4" t="s">
        <v>18</v>
      </c>
    </row>
    <row r="234" spans="1:15">
      <c r="A234" s="4" t="s">
        <v>98</v>
      </c>
      <c r="B234" s="4">
        <v>1</v>
      </c>
      <c r="C234" s="4">
        <v>1.12E-2</v>
      </c>
      <c r="D234" s="4">
        <v>1</v>
      </c>
      <c r="E234" s="4" t="s">
        <v>107</v>
      </c>
      <c r="F234" s="4" t="s">
        <v>21</v>
      </c>
      <c r="G234" s="4" t="s">
        <v>17</v>
      </c>
      <c r="H234" s="4" t="s">
        <v>22</v>
      </c>
      <c r="I234" s="4" t="s">
        <v>19</v>
      </c>
      <c r="J234" s="4" t="s">
        <v>26</v>
      </c>
      <c r="K234" s="4" t="s">
        <v>21</v>
      </c>
      <c r="L234" s="4" t="s">
        <v>17</v>
      </c>
      <c r="M234" s="4" t="s">
        <v>22</v>
      </c>
      <c r="N234" s="4" t="s">
        <v>19</v>
      </c>
      <c r="O234" s="4" t="s">
        <v>26</v>
      </c>
    </row>
    <row r="235" spans="1:15">
      <c r="A235" s="4" t="s">
        <v>98</v>
      </c>
      <c r="B235" s="4">
        <v>1</v>
      </c>
      <c r="C235" s="4">
        <v>1.12E-2</v>
      </c>
      <c r="D235" s="4">
        <v>0.9</v>
      </c>
      <c r="E235" s="4" t="s">
        <v>107</v>
      </c>
      <c r="F235" s="4" t="s">
        <v>17</v>
      </c>
      <c r="G235" s="4" t="s">
        <v>19</v>
      </c>
      <c r="H235" s="4" t="s">
        <v>23</v>
      </c>
      <c r="I235" s="4" t="s">
        <v>20</v>
      </c>
      <c r="J235" s="4" t="s">
        <v>22</v>
      </c>
      <c r="K235" s="4" t="s">
        <v>17</v>
      </c>
      <c r="L235" s="4" t="s">
        <v>19</v>
      </c>
      <c r="M235" s="4" t="s">
        <v>23</v>
      </c>
      <c r="N235" s="4" t="s">
        <v>20</v>
      </c>
      <c r="O235" s="4" t="s">
        <v>22</v>
      </c>
    </row>
    <row r="236" spans="1:15">
      <c r="A236" s="4" t="s">
        <v>98</v>
      </c>
      <c r="B236" s="4">
        <v>1</v>
      </c>
      <c r="C236" s="4">
        <v>1.12E-2</v>
      </c>
      <c r="D236" s="4">
        <v>0.8</v>
      </c>
      <c r="E236" s="4" t="s">
        <v>107</v>
      </c>
      <c r="F236" s="4" t="s">
        <v>22</v>
      </c>
      <c r="G236" s="4" t="s">
        <v>21</v>
      </c>
      <c r="H236" s="4" t="s">
        <v>18</v>
      </c>
      <c r="I236" s="4" t="s">
        <v>24</v>
      </c>
      <c r="J236" s="4" t="s">
        <v>19</v>
      </c>
      <c r="K236" s="4" t="s">
        <v>22</v>
      </c>
      <c r="L236" s="4" t="s">
        <v>21</v>
      </c>
      <c r="M236" s="4" t="s">
        <v>18</v>
      </c>
      <c r="N236" s="4" t="s">
        <v>24</v>
      </c>
      <c r="O236" s="4" t="s">
        <v>19</v>
      </c>
    </row>
    <row r="237" spans="1:15">
      <c r="A237" s="4" t="s">
        <v>98</v>
      </c>
      <c r="B237" s="4">
        <v>1</v>
      </c>
      <c r="C237" s="4">
        <v>1.12E-2</v>
      </c>
      <c r="D237" s="4">
        <v>0.7</v>
      </c>
      <c r="E237" s="4" t="s">
        <v>107</v>
      </c>
      <c r="F237" s="4" t="s">
        <v>22</v>
      </c>
      <c r="G237" s="4" t="s">
        <v>19</v>
      </c>
      <c r="H237" s="4" t="s">
        <v>17</v>
      </c>
      <c r="I237" s="4" t="s">
        <v>25</v>
      </c>
      <c r="J237" s="4" t="s">
        <v>21</v>
      </c>
      <c r="K237" s="4" t="s">
        <v>22</v>
      </c>
      <c r="L237" s="4" t="s">
        <v>19</v>
      </c>
      <c r="M237" s="4" t="s">
        <v>17</v>
      </c>
      <c r="N237" s="4" t="s">
        <v>25</v>
      </c>
      <c r="O237" s="4" t="s">
        <v>21</v>
      </c>
    </row>
    <row r="238" spans="1:15">
      <c r="A238" s="4" t="s">
        <v>98</v>
      </c>
      <c r="B238" s="4">
        <v>1</v>
      </c>
      <c r="C238" s="4">
        <v>1.12E-2</v>
      </c>
      <c r="D238" s="4">
        <v>0.6</v>
      </c>
      <c r="E238" s="4" t="s">
        <v>107</v>
      </c>
      <c r="F238" s="4" t="s">
        <v>20</v>
      </c>
      <c r="G238" s="4" t="s">
        <v>24</v>
      </c>
      <c r="H238" s="4" t="s">
        <v>26</v>
      </c>
      <c r="I238" s="4" t="s">
        <v>21</v>
      </c>
      <c r="J238" s="4" t="s">
        <v>22</v>
      </c>
      <c r="K238" s="4" t="s">
        <v>20</v>
      </c>
      <c r="L238" s="4" t="s">
        <v>24</v>
      </c>
      <c r="M238" s="4" t="s">
        <v>26</v>
      </c>
      <c r="N238" s="4" t="s">
        <v>21</v>
      </c>
      <c r="O238" s="4" t="s">
        <v>22</v>
      </c>
    </row>
    <row r="239" spans="1:15">
      <c r="A239" s="4" t="s">
        <v>98</v>
      </c>
      <c r="B239" s="4">
        <v>1</v>
      </c>
      <c r="C239" s="4">
        <v>1.12E-2</v>
      </c>
      <c r="D239" s="4">
        <v>0.5</v>
      </c>
      <c r="E239" s="4" t="s">
        <v>107</v>
      </c>
      <c r="F239" s="4" t="s">
        <v>26</v>
      </c>
      <c r="G239" s="4" t="s">
        <v>23</v>
      </c>
      <c r="H239" s="4" t="s">
        <v>20</v>
      </c>
      <c r="I239" s="4" t="s">
        <v>19</v>
      </c>
      <c r="J239" s="4" t="s">
        <v>22</v>
      </c>
      <c r="K239" s="4" t="s">
        <v>26</v>
      </c>
      <c r="L239" s="4" t="s">
        <v>23</v>
      </c>
      <c r="M239" s="4" t="s">
        <v>20</v>
      </c>
      <c r="N239" s="4" t="s">
        <v>19</v>
      </c>
      <c r="O239" s="4" t="s">
        <v>22</v>
      </c>
    </row>
    <row r="240" spans="1:15">
      <c r="A240" s="4" t="s">
        <v>98</v>
      </c>
      <c r="B240" s="4">
        <v>1</v>
      </c>
      <c r="C240" s="4">
        <v>1.12E-2</v>
      </c>
      <c r="D240" s="4">
        <v>0.4</v>
      </c>
      <c r="E240" s="4" t="s">
        <v>107</v>
      </c>
      <c r="F240" s="4" t="s">
        <v>18</v>
      </c>
      <c r="G240" s="4" t="s">
        <v>21</v>
      </c>
      <c r="H240" s="4" t="s">
        <v>23</v>
      </c>
      <c r="I240" s="4" t="s">
        <v>22</v>
      </c>
      <c r="J240" s="4" t="s">
        <v>19</v>
      </c>
      <c r="K240" s="4"/>
      <c r="L240" s="4"/>
      <c r="M240" s="4"/>
      <c r="N240" s="4"/>
      <c r="O240" s="4"/>
    </row>
    <row r="241" spans="1:15">
      <c r="A241" s="4" t="s">
        <v>98</v>
      </c>
      <c r="B241" s="4">
        <v>1</v>
      </c>
      <c r="C241" s="4">
        <v>1.12E-2</v>
      </c>
      <c r="D241" s="4">
        <v>0.3</v>
      </c>
      <c r="E241" s="4" t="s">
        <v>107</v>
      </c>
      <c r="F241" s="4" t="s">
        <v>20</v>
      </c>
      <c r="G241" s="4" t="s">
        <v>18</v>
      </c>
      <c r="H241" s="4" t="s">
        <v>21</v>
      </c>
      <c r="I241" s="4" t="s">
        <v>17</v>
      </c>
      <c r="J241" s="4" t="s">
        <v>26</v>
      </c>
      <c r="K241" s="4"/>
      <c r="L241" s="4"/>
      <c r="M241" s="4"/>
      <c r="N241" s="4"/>
      <c r="O241" s="4"/>
    </row>
    <row r="242" spans="1:15">
      <c r="A242" s="4" t="s">
        <v>98</v>
      </c>
      <c r="B242" s="4">
        <v>1</v>
      </c>
      <c r="C242" s="4">
        <v>1.12E-2</v>
      </c>
      <c r="D242" s="4">
        <v>0.2</v>
      </c>
      <c r="E242" s="4" t="s">
        <v>107</v>
      </c>
      <c r="F242" s="4" t="s">
        <v>26</v>
      </c>
      <c r="G242" s="4" t="s">
        <v>19</v>
      </c>
      <c r="H242" s="4" t="s">
        <v>17</v>
      </c>
      <c r="I242" s="4" t="s">
        <v>23</v>
      </c>
      <c r="J242" s="4" t="s">
        <v>20</v>
      </c>
      <c r="K242" s="4"/>
      <c r="L242" s="4"/>
      <c r="M242" s="4"/>
      <c r="N242" s="4"/>
      <c r="O242" s="4"/>
    </row>
    <row r="243" spans="1:15">
      <c r="A243" s="4" t="s">
        <v>98</v>
      </c>
      <c r="B243" s="4">
        <v>1</v>
      </c>
      <c r="C243" s="4">
        <v>1.12E-2</v>
      </c>
      <c r="D243" s="4">
        <v>0.1</v>
      </c>
      <c r="E243" s="4" t="s">
        <v>107</v>
      </c>
      <c r="F243" s="4" t="s">
        <v>24</v>
      </c>
      <c r="G243" s="4" t="s">
        <v>22</v>
      </c>
      <c r="H243" s="4" t="s">
        <v>21</v>
      </c>
      <c r="I243" s="4" t="s">
        <v>18</v>
      </c>
      <c r="J243" s="4" t="s">
        <v>26</v>
      </c>
      <c r="K243" s="4"/>
      <c r="L243" s="4"/>
      <c r="M243" s="4"/>
      <c r="N243" s="4"/>
      <c r="O243" s="4"/>
    </row>
    <row r="244" spans="1:15">
      <c r="A244" s="4" t="s">
        <v>98</v>
      </c>
      <c r="B244" s="4">
        <v>1</v>
      </c>
      <c r="C244" s="4">
        <v>1.12E-2</v>
      </c>
      <c r="D244" s="4">
        <v>0</v>
      </c>
      <c r="E244" s="4" t="s">
        <v>107</v>
      </c>
      <c r="F244" s="4" t="s">
        <v>18</v>
      </c>
      <c r="G244" s="4" t="s">
        <v>22</v>
      </c>
      <c r="H244" s="4" t="s">
        <v>19</v>
      </c>
      <c r="I244" s="4" t="s">
        <v>25</v>
      </c>
      <c r="J244" s="4" t="s">
        <v>26</v>
      </c>
      <c r="K244" s="4"/>
      <c r="L244" s="4"/>
      <c r="M244" s="4"/>
      <c r="N244" s="4"/>
      <c r="O244" s="4"/>
    </row>
    <row r="245" spans="1:15">
      <c r="A245" s="4" t="s">
        <v>98</v>
      </c>
      <c r="B245" s="4">
        <v>1</v>
      </c>
      <c r="C245" s="4">
        <v>1.12E-2</v>
      </c>
      <c r="D245" s="4">
        <v>-0.1</v>
      </c>
      <c r="E245" s="4" t="s">
        <v>107</v>
      </c>
      <c r="F245" s="4" t="s">
        <v>25</v>
      </c>
      <c r="G245" s="4" t="s">
        <v>24</v>
      </c>
      <c r="H245" s="4" t="s">
        <v>18</v>
      </c>
      <c r="I245" s="4" t="s">
        <v>22</v>
      </c>
      <c r="J245" s="4" t="s">
        <v>23</v>
      </c>
      <c r="K245" s="4"/>
      <c r="L245" s="4"/>
      <c r="M245" s="4"/>
      <c r="N245" s="4"/>
      <c r="O245" s="4"/>
    </row>
    <row r="246" spans="1:15">
      <c r="A246" s="4" t="s">
        <v>98</v>
      </c>
      <c r="B246" s="4">
        <v>1</v>
      </c>
      <c r="C246" s="4">
        <v>1.12E-2</v>
      </c>
      <c r="D246" s="4">
        <v>-0.2</v>
      </c>
      <c r="E246" s="4" t="s">
        <v>107</v>
      </c>
      <c r="F246" s="4" t="s">
        <v>26</v>
      </c>
      <c r="G246" s="4" t="s">
        <v>17</v>
      </c>
      <c r="H246" s="4" t="s">
        <v>23</v>
      </c>
      <c r="I246" s="4" t="s">
        <v>25</v>
      </c>
      <c r="J246" s="4" t="s">
        <v>18</v>
      </c>
      <c r="K246" s="4"/>
      <c r="L246" s="4"/>
      <c r="M246" s="4"/>
      <c r="N246" s="4"/>
      <c r="O246" s="4"/>
    </row>
    <row r="247" spans="1:15">
      <c r="A247" s="4" t="s">
        <v>98</v>
      </c>
      <c r="B247" s="4">
        <v>1</v>
      </c>
      <c r="C247" s="4">
        <v>1.12E-2</v>
      </c>
      <c r="D247" s="4">
        <v>-0.3</v>
      </c>
      <c r="E247" s="4" t="s">
        <v>107</v>
      </c>
      <c r="F247" s="4" t="s">
        <v>25</v>
      </c>
      <c r="G247" s="4" t="s">
        <v>22</v>
      </c>
      <c r="H247" s="4" t="s">
        <v>18</v>
      </c>
      <c r="I247" s="4" t="s">
        <v>21</v>
      </c>
      <c r="J247" s="4" t="s">
        <v>17</v>
      </c>
      <c r="K247" s="4"/>
      <c r="L247" s="4"/>
      <c r="M247" s="4"/>
      <c r="N247" s="4"/>
      <c r="O247" s="4"/>
    </row>
    <row r="248" spans="1:15">
      <c r="A248" s="4" t="s">
        <v>99</v>
      </c>
      <c r="B248" s="4">
        <v>1</v>
      </c>
      <c r="C248" s="4">
        <v>5.5999999999999999E-3</v>
      </c>
      <c r="D248" s="4">
        <v>1.7</v>
      </c>
      <c r="E248" s="4" t="s">
        <v>107</v>
      </c>
      <c r="F248" s="4" t="s">
        <v>26</v>
      </c>
      <c r="G248" s="4" t="s">
        <v>20</v>
      </c>
      <c r="H248" s="4" t="s">
        <v>25</v>
      </c>
      <c r="I248" s="4" t="s">
        <v>17</v>
      </c>
      <c r="J248" s="4" t="s">
        <v>22</v>
      </c>
      <c r="K248" s="4"/>
      <c r="L248" s="4"/>
      <c r="M248" s="4"/>
      <c r="N248" s="4"/>
      <c r="O248" s="4"/>
    </row>
    <row r="249" spans="1:15">
      <c r="A249" s="4" t="s">
        <v>99</v>
      </c>
      <c r="B249" s="4">
        <v>1</v>
      </c>
      <c r="C249" s="4">
        <v>5.5999999999999999E-3</v>
      </c>
      <c r="D249" s="4">
        <v>1.6</v>
      </c>
      <c r="E249" s="4" t="s">
        <v>107</v>
      </c>
      <c r="F249" s="4" t="s">
        <v>24</v>
      </c>
      <c r="G249" s="4" t="s">
        <v>26</v>
      </c>
      <c r="H249" s="4" t="s">
        <v>23</v>
      </c>
      <c r="I249" s="4" t="s">
        <v>20</v>
      </c>
      <c r="J249" s="4" t="s">
        <v>19</v>
      </c>
      <c r="K249" s="4"/>
      <c r="L249" s="4"/>
      <c r="M249" s="4"/>
      <c r="N249" s="4"/>
      <c r="O249" s="4"/>
    </row>
    <row r="250" spans="1:15">
      <c r="A250" s="4" t="s">
        <v>99</v>
      </c>
      <c r="B250" s="4">
        <v>1</v>
      </c>
      <c r="C250" s="4">
        <v>5.5999999999999999E-3</v>
      </c>
      <c r="D250" s="4">
        <v>1.5</v>
      </c>
      <c r="E250" s="4" t="s">
        <v>107</v>
      </c>
      <c r="F250" s="4" t="s">
        <v>18</v>
      </c>
      <c r="G250" s="4" t="s">
        <v>25</v>
      </c>
      <c r="H250" s="4" t="s">
        <v>17</v>
      </c>
      <c r="I250" s="4" t="s">
        <v>20</v>
      </c>
      <c r="J250" s="4" t="s">
        <v>21</v>
      </c>
      <c r="K250" s="4"/>
      <c r="L250" s="4"/>
      <c r="M250" s="4"/>
      <c r="N250" s="4"/>
      <c r="O250" s="4"/>
    </row>
    <row r="251" spans="1:15">
      <c r="A251" s="4" t="s">
        <v>99</v>
      </c>
      <c r="B251" s="4">
        <v>1</v>
      </c>
      <c r="C251" s="4">
        <v>5.5999999999999999E-3</v>
      </c>
      <c r="D251" s="4">
        <v>1.4</v>
      </c>
      <c r="E251" s="4" t="s">
        <v>107</v>
      </c>
      <c r="F251" s="4" t="s">
        <v>25</v>
      </c>
      <c r="G251" s="4" t="s">
        <v>22</v>
      </c>
      <c r="H251" s="4" t="s">
        <v>19</v>
      </c>
      <c r="I251" s="4" t="s">
        <v>24</v>
      </c>
      <c r="J251" s="4" t="s">
        <v>17</v>
      </c>
      <c r="K251" s="4"/>
      <c r="L251" s="4"/>
      <c r="M251" s="4"/>
      <c r="N251" s="4"/>
      <c r="O251" s="4"/>
    </row>
    <row r="252" spans="1:15">
      <c r="A252" s="4" t="s">
        <v>99</v>
      </c>
      <c r="B252" s="4">
        <v>1</v>
      </c>
      <c r="C252" s="4">
        <v>5.5999999999999999E-3</v>
      </c>
      <c r="D252" s="4">
        <v>1.3</v>
      </c>
      <c r="E252" s="4" t="s">
        <v>107</v>
      </c>
      <c r="F252" s="4" t="s">
        <v>19</v>
      </c>
      <c r="G252" s="4" t="s">
        <v>25</v>
      </c>
      <c r="H252" s="4" t="s">
        <v>17</v>
      </c>
      <c r="I252" s="4" t="s">
        <v>24</v>
      </c>
      <c r="J252" s="4" t="s">
        <v>21</v>
      </c>
      <c r="K252" s="4"/>
      <c r="L252" s="4"/>
      <c r="M252" s="4"/>
      <c r="N252" s="4"/>
      <c r="O252" s="4"/>
    </row>
    <row r="253" spans="1:15">
      <c r="A253" s="4" t="s">
        <v>99</v>
      </c>
      <c r="B253" s="4">
        <v>1</v>
      </c>
      <c r="C253" s="4">
        <v>5.5999999999999999E-3</v>
      </c>
      <c r="D253" s="4">
        <v>1.2</v>
      </c>
      <c r="E253" s="4" t="s">
        <v>107</v>
      </c>
      <c r="F253" s="4" t="s">
        <v>23</v>
      </c>
      <c r="G253" s="4" t="s">
        <v>19</v>
      </c>
      <c r="H253" s="4" t="s">
        <v>26</v>
      </c>
      <c r="I253" s="4" t="s">
        <v>25</v>
      </c>
      <c r="J253" s="4" t="s">
        <v>18</v>
      </c>
      <c r="K253" s="4"/>
      <c r="L253" s="4"/>
      <c r="M253" s="4"/>
      <c r="N253" s="4"/>
      <c r="O253" s="4"/>
    </row>
    <row r="254" spans="1:15">
      <c r="A254" s="4" t="s">
        <v>99</v>
      </c>
      <c r="B254" s="4">
        <v>1</v>
      </c>
      <c r="C254" s="4">
        <v>5.5999999999999999E-3</v>
      </c>
      <c r="D254" s="4">
        <v>1.1000000000000001</v>
      </c>
      <c r="E254" s="4" t="s">
        <v>107</v>
      </c>
      <c r="F254" s="4" t="s">
        <v>18</v>
      </c>
      <c r="G254" s="4" t="s">
        <v>26</v>
      </c>
      <c r="H254" s="4" t="s">
        <v>21</v>
      </c>
      <c r="I254" s="4" t="s">
        <v>20</v>
      </c>
      <c r="J254" s="4" t="s">
        <v>22</v>
      </c>
      <c r="K254" s="4"/>
      <c r="L254" s="4"/>
      <c r="M254" s="4"/>
      <c r="N254" s="4"/>
      <c r="O254" s="4"/>
    </row>
    <row r="255" spans="1:15">
      <c r="A255" s="4" t="s">
        <v>99</v>
      </c>
      <c r="B255" s="4">
        <v>1</v>
      </c>
      <c r="C255" s="4">
        <v>5.5999999999999999E-3</v>
      </c>
      <c r="D255" s="4">
        <v>1</v>
      </c>
      <c r="E255" s="4" t="s">
        <v>107</v>
      </c>
      <c r="F255" s="4" t="s">
        <v>24</v>
      </c>
      <c r="G255" s="4" t="s">
        <v>26</v>
      </c>
      <c r="H255" s="4" t="s">
        <v>20</v>
      </c>
      <c r="I255" s="4" t="s">
        <v>18</v>
      </c>
      <c r="J255" s="4" t="s">
        <v>21</v>
      </c>
      <c r="K255" s="4"/>
      <c r="L255" s="4"/>
      <c r="M255" s="4"/>
      <c r="N255" s="4"/>
      <c r="O255" s="4"/>
    </row>
    <row r="256" spans="1:15">
      <c r="A256" s="4" t="s">
        <v>99</v>
      </c>
      <c r="B256" s="4">
        <v>1</v>
      </c>
      <c r="C256" s="4">
        <v>5.5999999999999999E-3</v>
      </c>
      <c r="D256" s="4">
        <v>0.9</v>
      </c>
      <c r="E256" s="4" t="s">
        <v>107</v>
      </c>
      <c r="F256" s="4" t="s">
        <v>23</v>
      </c>
      <c r="G256" s="4" t="s">
        <v>18</v>
      </c>
      <c r="H256" s="4" t="s">
        <v>26</v>
      </c>
      <c r="I256" s="4" t="s">
        <v>19</v>
      </c>
      <c r="J256" s="4" t="s">
        <v>21</v>
      </c>
      <c r="K256" s="4"/>
      <c r="L256" s="4"/>
      <c r="M256" s="4"/>
      <c r="N256" s="4"/>
      <c r="O256" s="4"/>
    </row>
    <row r="257" spans="1:15">
      <c r="A257" s="4" t="s">
        <v>99</v>
      </c>
      <c r="B257" s="4">
        <v>1</v>
      </c>
      <c r="C257" s="4">
        <v>5.5999999999999999E-3</v>
      </c>
      <c r="D257" s="4">
        <v>0.8</v>
      </c>
      <c r="E257" s="4" t="s">
        <v>107</v>
      </c>
      <c r="F257" s="4" t="s">
        <v>17</v>
      </c>
      <c r="G257" s="4" t="s">
        <v>22</v>
      </c>
      <c r="H257" s="4" t="s">
        <v>19</v>
      </c>
      <c r="I257" s="4" t="s">
        <v>18</v>
      </c>
      <c r="J257" s="4" t="s">
        <v>21</v>
      </c>
      <c r="K257" s="4"/>
      <c r="L257" s="4"/>
      <c r="M257" s="4"/>
      <c r="N257" s="4"/>
      <c r="O257" s="4"/>
    </row>
    <row r="258" spans="1:15">
      <c r="A258" s="4" t="s">
        <v>99</v>
      </c>
      <c r="B258" s="4">
        <v>1</v>
      </c>
      <c r="C258" s="4">
        <v>5.5999999999999999E-3</v>
      </c>
      <c r="D258" s="4">
        <v>0.7</v>
      </c>
      <c r="E258" s="4" t="s">
        <v>107</v>
      </c>
      <c r="F258" s="4" t="s">
        <v>21</v>
      </c>
      <c r="G258" s="4" t="s">
        <v>25</v>
      </c>
      <c r="H258" s="4" t="s">
        <v>20</v>
      </c>
      <c r="I258" s="4" t="s">
        <v>22</v>
      </c>
      <c r="J258" s="4" t="s">
        <v>23</v>
      </c>
      <c r="K258" s="4"/>
      <c r="L258" s="4"/>
      <c r="M258" s="4"/>
      <c r="N258" s="4"/>
      <c r="O258" s="4"/>
    </row>
    <row r="259" spans="1:15">
      <c r="A259" s="4" t="s">
        <v>99</v>
      </c>
      <c r="B259" s="4">
        <v>1</v>
      </c>
      <c r="C259" s="4">
        <v>5.5999999999999999E-3</v>
      </c>
      <c r="D259" s="4">
        <v>0.6</v>
      </c>
      <c r="E259" s="4" t="s">
        <v>107</v>
      </c>
      <c r="F259" s="4" t="s">
        <v>21</v>
      </c>
      <c r="G259" s="4" t="s">
        <v>19</v>
      </c>
      <c r="H259" s="4" t="s">
        <v>24</v>
      </c>
      <c r="I259" s="4" t="s">
        <v>20</v>
      </c>
      <c r="J259" s="4" t="s">
        <v>18</v>
      </c>
      <c r="K259" s="4"/>
      <c r="L259" s="4"/>
      <c r="M259" s="4"/>
      <c r="N259" s="4"/>
      <c r="O259" s="4"/>
    </row>
    <row r="260" spans="1:15">
      <c r="A260" s="4" t="s">
        <v>99</v>
      </c>
      <c r="B260" s="4">
        <v>1</v>
      </c>
      <c r="C260" s="4">
        <v>5.5999999999999999E-3</v>
      </c>
      <c r="D260" s="4">
        <v>0.5</v>
      </c>
      <c r="E260" s="4" t="s">
        <v>107</v>
      </c>
      <c r="F260" s="4" t="s">
        <v>21</v>
      </c>
      <c r="G260" s="4" t="s">
        <v>22</v>
      </c>
      <c r="H260" s="4" t="s">
        <v>24</v>
      </c>
      <c r="I260" s="4" t="s">
        <v>20</v>
      </c>
      <c r="J260" s="4" t="s">
        <v>26</v>
      </c>
      <c r="K260" s="4"/>
      <c r="L260" s="4"/>
      <c r="M260" s="4"/>
      <c r="N260" s="4"/>
      <c r="O260" s="4"/>
    </row>
    <row r="261" spans="1:15">
      <c r="A261" s="4" t="s">
        <v>99</v>
      </c>
      <c r="B261" s="4">
        <v>1</v>
      </c>
      <c r="C261" s="4">
        <v>5.5999999999999999E-3</v>
      </c>
      <c r="D261" s="4">
        <v>0.4</v>
      </c>
      <c r="E261" s="4" t="s">
        <v>107</v>
      </c>
      <c r="F261" s="4" t="s">
        <v>23</v>
      </c>
      <c r="G261" s="4" t="s">
        <v>24</v>
      </c>
      <c r="H261" s="4" t="s">
        <v>18</v>
      </c>
      <c r="I261" s="4" t="s">
        <v>26</v>
      </c>
      <c r="J261" s="4" t="s">
        <v>21</v>
      </c>
      <c r="K261" s="4"/>
      <c r="L261" s="4"/>
      <c r="M261" s="4"/>
      <c r="N261" s="4"/>
      <c r="O261" s="4"/>
    </row>
    <row r="262" spans="1:15">
      <c r="A262" s="4" t="s">
        <v>99</v>
      </c>
      <c r="B262" s="4">
        <v>1</v>
      </c>
      <c r="C262" s="4">
        <v>5.5999999999999999E-3</v>
      </c>
      <c r="D262" s="4">
        <v>0.3</v>
      </c>
      <c r="E262" s="4" t="s">
        <v>107</v>
      </c>
      <c r="F262" s="4" t="s">
        <v>26</v>
      </c>
      <c r="G262" s="4" t="s">
        <v>20</v>
      </c>
      <c r="H262" s="4" t="s">
        <v>17</v>
      </c>
      <c r="I262" s="4" t="s">
        <v>19</v>
      </c>
      <c r="J262" s="4" t="s">
        <v>25</v>
      </c>
      <c r="K262" s="4"/>
      <c r="L262" s="4"/>
      <c r="M262" s="4"/>
      <c r="N262" s="4"/>
      <c r="O262" s="4"/>
    </row>
    <row r="263" spans="1:15">
      <c r="A263" s="4" t="s">
        <v>99</v>
      </c>
      <c r="B263" s="4">
        <v>1</v>
      </c>
      <c r="C263" s="4">
        <v>5.5999999999999999E-3</v>
      </c>
      <c r="D263" s="4">
        <v>0.2</v>
      </c>
      <c r="E263" s="4" t="s">
        <v>107</v>
      </c>
      <c r="F263" s="4" t="s">
        <v>22</v>
      </c>
      <c r="G263" s="4" t="s">
        <v>19</v>
      </c>
      <c r="H263" s="4" t="s">
        <v>20</v>
      </c>
      <c r="I263" s="4" t="s">
        <v>26</v>
      </c>
      <c r="J263" s="4" t="s">
        <v>23</v>
      </c>
      <c r="K263" s="4"/>
      <c r="L263" s="4"/>
      <c r="M263" s="4"/>
      <c r="N263" s="4"/>
      <c r="O263" s="4"/>
    </row>
    <row r="264" spans="1:15">
      <c r="A264" s="4" t="s">
        <v>99</v>
      </c>
      <c r="B264" s="4">
        <v>1</v>
      </c>
      <c r="C264" s="4">
        <v>5.5999999999999999E-3</v>
      </c>
      <c r="D264" s="4">
        <v>0.1</v>
      </c>
      <c r="E264" s="4" t="s">
        <v>107</v>
      </c>
      <c r="F264" s="4" t="s">
        <v>21</v>
      </c>
      <c r="G264" s="4" t="s">
        <v>18</v>
      </c>
      <c r="H264" s="4" t="s">
        <v>23</v>
      </c>
      <c r="I264" s="4" t="s">
        <v>24</v>
      </c>
      <c r="J264" s="4" t="s">
        <v>20</v>
      </c>
      <c r="K264" s="4"/>
      <c r="L264" s="4"/>
      <c r="M264" s="4"/>
      <c r="N264" s="4"/>
      <c r="O264" s="4"/>
    </row>
    <row r="265" spans="1:15">
      <c r="A265" s="4" t="s">
        <v>99</v>
      </c>
      <c r="B265" s="4">
        <v>1</v>
      </c>
      <c r="C265" s="4">
        <v>5.5999999999999999E-3</v>
      </c>
      <c r="D265" s="4">
        <v>0</v>
      </c>
      <c r="E265" s="4" t="s">
        <v>107</v>
      </c>
      <c r="F265" s="4" t="s">
        <v>18</v>
      </c>
      <c r="G265" s="4" t="s">
        <v>23</v>
      </c>
      <c r="H265" s="4" t="s">
        <v>24</v>
      </c>
      <c r="I265" s="4" t="s">
        <v>21</v>
      </c>
      <c r="J265" s="4" t="s">
        <v>25</v>
      </c>
      <c r="K265" s="4"/>
      <c r="L265" s="4"/>
      <c r="M265" s="4"/>
      <c r="N265" s="4"/>
      <c r="O265" s="4"/>
    </row>
    <row r="266" spans="1:15">
      <c r="A266" s="4" t="s">
        <v>99</v>
      </c>
      <c r="B266" s="4">
        <v>1</v>
      </c>
      <c r="C266" s="4">
        <v>5.5999999999999999E-3</v>
      </c>
      <c r="D266" s="4">
        <v>-0.1</v>
      </c>
      <c r="E266" s="4" t="s">
        <v>107</v>
      </c>
      <c r="F266" s="4" t="s">
        <v>22</v>
      </c>
      <c r="G266" s="4" t="s">
        <v>25</v>
      </c>
      <c r="H266" s="4" t="s">
        <v>20</v>
      </c>
      <c r="I266" s="4" t="s">
        <v>23</v>
      </c>
      <c r="J266" s="4" t="s">
        <v>19</v>
      </c>
      <c r="K266" s="4"/>
      <c r="L266" s="4"/>
      <c r="M266" s="4"/>
      <c r="N266" s="4"/>
      <c r="O266" s="4"/>
    </row>
    <row r="267" spans="1:15">
      <c r="A267" s="4" t="s">
        <v>99</v>
      </c>
      <c r="B267" s="4">
        <v>1</v>
      </c>
      <c r="C267" s="4">
        <v>5.5999999999999999E-3</v>
      </c>
      <c r="D267" s="4">
        <v>-0.2</v>
      </c>
      <c r="E267" s="4" t="s">
        <v>107</v>
      </c>
      <c r="F267" s="4" t="s">
        <v>26</v>
      </c>
      <c r="G267" s="4" t="s">
        <v>25</v>
      </c>
      <c r="H267" s="4" t="s">
        <v>19</v>
      </c>
      <c r="I267" s="4" t="s">
        <v>24</v>
      </c>
      <c r="J267" s="4" t="s">
        <v>18</v>
      </c>
      <c r="K267" s="4"/>
      <c r="L267" s="4"/>
      <c r="M267" s="4"/>
      <c r="N267" s="4"/>
      <c r="O267" s="4"/>
    </row>
    <row r="268" spans="1:15">
      <c r="A268" s="4" t="s">
        <v>99</v>
      </c>
      <c r="B268" s="4">
        <v>1</v>
      </c>
      <c r="C268" s="4">
        <v>5.5999999999999999E-3</v>
      </c>
      <c r="D268" s="4">
        <v>-0.3</v>
      </c>
      <c r="E268" s="4" t="s">
        <v>107</v>
      </c>
      <c r="F268" s="4" t="s">
        <v>23</v>
      </c>
      <c r="G268" s="4" t="s">
        <v>17</v>
      </c>
      <c r="H268" s="4" t="s">
        <v>19</v>
      </c>
      <c r="I268" s="4" t="s">
        <v>26</v>
      </c>
      <c r="J268" s="4" t="s">
        <v>24</v>
      </c>
      <c r="K268" s="4"/>
      <c r="L268" s="4"/>
      <c r="M268" s="4"/>
      <c r="N268" s="4"/>
      <c r="O26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Yingzi Xiong</dc:creator>
  <cp:keywords/>
  <dc:description/>
  <cp:lastModifiedBy/>
  <cp:revision/>
  <dcterms:created xsi:type="dcterms:W3CDTF">2023-11-20T15:39:37Z</dcterms:created>
  <dcterms:modified xsi:type="dcterms:W3CDTF">2023-11-30T14:49:32Z</dcterms:modified>
  <cp:category/>
  <cp:contentStatus/>
</cp:coreProperties>
</file>